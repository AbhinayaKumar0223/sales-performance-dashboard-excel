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hidePivotFieldList="1" defaultThemeVersion="124226"/>
  <mc:AlternateContent xmlns:mc="http://schemas.openxmlformats.org/markup-compatibility/2006">
    <mc:Choice Requires="x15">
      <x15ac:absPath xmlns:x15ac="http://schemas.microsoft.com/office/spreadsheetml/2010/11/ac" url="/Users/abhinaya_k/Desktop/Data Analyst/Excel sales dashboard/"/>
    </mc:Choice>
  </mc:AlternateContent>
  <xr:revisionPtr revIDLastSave="0" documentId="13_ncr:1_{360E2190-96E0-B447-A279-5B90AABB0C5B}" xr6:coauthVersionLast="47" xr6:coauthVersionMax="47" xr10:uidLastSave="{00000000-0000-0000-0000-000000000000}"/>
  <bookViews>
    <workbookView xWindow="0" yWindow="0" windowWidth="28800" windowHeight="18000" activeTab="4" xr2:uid="{00000000-000D-0000-FFFF-FFFF00000000}"/>
  </bookViews>
  <sheets>
    <sheet name="Sheet4" sheetId="4" state="hidden" r:id="rId1"/>
    <sheet name="Sheet5" sheetId="5" state="hidden" r:id="rId2"/>
    <sheet name="Sheet6" sheetId="6" state="hidden" r:id="rId3"/>
    <sheet name="Sheet7" sheetId="7" state="hidden" r:id="rId4"/>
    <sheet name="Dashboard" sheetId="8" r:id="rId5"/>
    <sheet name="Sheet8" sheetId="10" state="hidden" r:id="rId6"/>
    <sheet name="Sheet1" sheetId="1" r:id="rId7"/>
  </sheets>
  <definedNames>
    <definedName name="Slicer_Category">#N/A</definedName>
    <definedName name="Slicer_Months__OrderDate">#N/A</definedName>
    <definedName name="Slicer_Region">#N/A</definedName>
    <definedName name="Slicer_Segment">#N/A</definedName>
    <definedName name="Slicer_SubCategory">#N/A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10" l="1"/>
  <c r="B8" i="10"/>
  <c r="B9" i="10"/>
</calcChain>
</file>

<file path=xl/sharedStrings.xml><?xml version="1.0" encoding="utf-8"?>
<sst xmlns="http://schemas.openxmlformats.org/spreadsheetml/2006/main" count="2075" uniqueCount="63">
  <si>
    <t>OrderID</t>
  </si>
  <si>
    <t>OrderDate</t>
  </si>
  <si>
    <t>Region</t>
  </si>
  <si>
    <t>Category</t>
  </si>
  <si>
    <t>SubCategory</t>
  </si>
  <si>
    <t>Segment</t>
  </si>
  <si>
    <t>Quantity</t>
  </si>
  <si>
    <t>UnitPrice</t>
  </si>
  <si>
    <t>Discount</t>
  </si>
  <si>
    <t>TotalSales</t>
  </si>
  <si>
    <t>Profit</t>
  </si>
  <si>
    <t>Galle</t>
  </si>
  <si>
    <t>Jaffna</t>
  </si>
  <si>
    <t>Batticaloa</t>
  </si>
  <si>
    <t>Colombo</t>
  </si>
  <si>
    <t>Gampaha</t>
  </si>
  <si>
    <t>Kandy</t>
  </si>
  <si>
    <t>Kurunegala</t>
  </si>
  <si>
    <t>Matara</t>
  </si>
  <si>
    <t>Grocery</t>
  </si>
  <si>
    <t>Clothing</t>
  </si>
  <si>
    <t>Furniture</t>
  </si>
  <si>
    <t>Electronics</t>
  </si>
  <si>
    <t>Rice</t>
  </si>
  <si>
    <t>Women</t>
  </si>
  <si>
    <t>Snacks</t>
  </si>
  <si>
    <t>Chair</t>
  </si>
  <si>
    <t>Men</t>
  </si>
  <si>
    <t>Spices</t>
  </si>
  <si>
    <t>Table</t>
  </si>
  <si>
    <t>Mobile</t>
  </si>
  <si>
    <t>Sofa</t>
  </si>
  <si>
    <t>Vegetables</t>
  </si>
  <si>
    <t>Accessories</t>
  </si>
  <si>
    <t>Laptop</t>
  </si>
  <si>
    <t>Beverages</t>
  </si>
  <si>
    <t>Home Office</t>
  </si>
  <si>
    <t>Corporate</t>
  </si>
  <si>
    <t>Consumer</t>
  </si>
  <si>
    <t>Sum of TotalSales</t>
  </si>
  <si>
    <t>Sum of Profit</t>
  </si>
  <si>
    <t>Row Labels</t>
  </si>
  <si>
    <t>Grand Total</t>
  </si>
  <si>
    <t>Count of OrderID</t>
  </si>
  <si>
    <t>Cell</t>
  </si>
  <si>
    <t>Formula</t>
  </si>
  <si>
    <t>G1</t>
  </si>
  <si>
    <t>G2</t>
  </si>
  <si>
    <t>G3</t>
  </si>
  <si>
    <t>2023</t>
  </si>
  <si>
    <t>Jan</t>
  </si>
  <si>
    <t>Sep</t>
  </si>
  <si>
    <t>Aug</t>
  </si>
  <si>
    <t>May</t>
  </si>
  <si>
    <t>Dec</t>
  </si>
  <si>
    <t>2024</t>
  </si>
  <si>
    <t>Apr</t>
  </si>
  <si>
    <t>Mar</t>
  </si>
  <si>
    <t>Feb</t>
  </si>
  <si>
    <t>Jun</t>
  </si>
  <si>
    <t>Jul</t>
  </si>
  <si>
    <t>Oct</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</si>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</sst>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LKR&quot;#,##0.00"/>
  </numFmts>
  <fonts count="5" x14ac:knownFonts="1">
    <font>
      <sz val="11"/>
      <color theme="1"/>
      <name val="Calibri"/>
      <family val="2"/>
      <scheme val="minor"/>
    </font>
    <font>
      <b/>
      <sz val="11"/>
      <color theme="1"/>
      <name val="Calibri"/>
      <family val="2"/>
      <scheme val="minor"/>
    </font>
    <font>
      <sz val="8"/>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4" fontId="0" fillId="0" borderId="0" xfId="0" applyNumberFormat="1"/>
    <xf numFmtId="14" fontId="1" fillId="0" borderId="1" xfId="0" applyNumberFormat="1" applyFont="1" applyBorder="1" applyAlignment="1">
      <alignment horizontal="center" vertical="top"/>
    </xf>
    <xf numFmtId="164" fontId="0" fillId="0" borderId="0" xfId="0" applyNumberFormat="1"/>
    <xf numFmtId="0" fontId="3" fillId="0" borderId="0" xfId="0" applyFont="1"/>
    <xf numFmtId="0" fontId="4" fillId="0" borderId="0" xfId="0" applyFont="1"/>
    <xf numFmtId="164" fontId="4" fillId="0" borderId="0" xfId="0" applyNumberFormat="1" applyFont="1"/>
    <xf numFmtId="0" fontId="0" fillId="0" borderId="0" xfId="0" applyAlignment="1">
      <alignment horizontal="left" indent="1"/>
    </xf>
    <xf numFmtId="0" fontId="0" fillId="0" borderId="0" xfId="0" applyAlignment="1">
      <alignment horizontal="center"/>
    </xf>
    <xf numFmtId="0" fontId="0" fillId="0" borderId="0" xfId="0" applyNumberFormat="1"/>
  </cellXfs>
  <cellStyles count="1">
    <cellStyle name="Normal" xfId="0" builtinId="0"/>
  </cellStyles>
  <dxfs count="25">
    <dxf>
      <numFmt numFmtId="164" formatCode="&quot;LKR&quot;#,##0.00"/>
    </dxf>
    <dxf>
      <numFmt numFmtId="164" formatCode="&quot;LKR&quot;#,##0.00"/>
    </dxf>
    <dxf>
      <numFmt numFmtId="0" formatCode="General"/>
    </dxf>
    <dxf>
      <numFmt numFmtId="164" formatCode="&quot;LKR&quot;#,##0.00"/>
    </dxf>
    <dxf>
      <numFmt numFmtId="164" formatCode="&quot;LKR&quot;#,##0.00"/>
    </dxf>
    <dxf>
      <numFmt numFmtId="0" formatCode="General"/>
    </dxf>
    <dxf>
      <numFmt numFmtId="164" formatCode="&quot;LKR&quot;#,##0.00"/>
    </dxf>
    <dxf>
      <numFmt numFmtId="164" formatCode="&quot;LKR&quot;#,##0.00"/>
    </dxf>
    <dxf>
      <numFmt numFmtId="0" formatCode="General"/>
    </dxf>
    <dxf>
      <numFmt numFmtId="164" formatCode="&quot;LKR&quot;#,##0.00"/>
    </dxf>
    <dxf>
      <numFmt numFmtId="164" formatCode="&quot;LKR&quot;#,##0.00"/>
    </dxf>
    <dxf>
      <numFmt numFmtId="0" formatCode="General"/>
    </dxf>
    <dxf>
      <numFmt numFmtId="164" formatCode="&quot;LKR&quot;#,##0.00"/>
    </dxf>
    <dxf>
      <numFmt numFmtId="164" formatCode="&quot;LKR&quot;#,##0.00"/>
    </dxf>
    <dxf>
      <numFmt numFmtId="0" formatCode="General"/>
    </dxf>
    <dxf>
      <numFmt numFmtId="164" formatCode="&quot;LKR&quot;#,##0.00"/>
    </dxf>
    <dxf>
      <numFmt numFmtId="164" formatCode="&quot;LKR&quot;#,##0.00"/>
    </dxf>
    <dxf>
      <numFmt numFmtId="0" formatCode="General"/>
    </dxf>
    <dxf>
      <numFmt numFmtId="19"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164" formatCode="&quot;LKR&quot;#,##0.00"/>
    </dxf>
    <dxf>
      <numFmt numFmtId="164" formatCode="&quot;LKR&quot;#,##0.00"/>
    </dxf>
  </dxfs>
  <tableStyles count="0" defaultTableStyle="TableStyleMedium9" defaultPivotStyle="PivotStyleLight16"/>
  <colors>
    <mruColors>
      <color rgb="FFB3D9ED"/>
      <color rgb="FF1F2A44"/>
      <color rgb="FFF5F5F5"/>
      <color rgb="FFE8F1FF"/>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Sales.xlsx]Sheet4!PivotTable3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K"/>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Sheet4!$B$3</c:f>
              <c:strCache>
                <c:ptCount val="1"/>
                <c:pt idx="0">
                  <c:v>Total</c:v>
                </c:pt>
              </c:strCache>
            </c:strRef>
          </c:tx>
          <c:spPr>
            <a:solidFill>
              <a:schemeClr val="accent1"/>
            </a:solidFill>
            <a:ln>
              <a:noFill/>
            </a:ln>
            <a:effectLst/>
            <a:sp3d/>
          </c:spPr>
          <c:cat>
            <c:multiLvlStrRef>
              <c:f>Sheet4!$A$4:$A$23</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2023</c:v>
                  </c:pt>
                  <c:pt idx="12">
                    <c:v>2024</c:v>
                  </c:pt>
                </c:lvl>
              </c:multiLvlStrCache>
            </c:multiLvlStrRef>
          </c:cat>
          <c:val>
            <c:numRef>
              <c:f>Sheet4!$B$4:$B$23</c:f>
              <c:numCache>
                <c:formatCode>General</c:formatCode>
                <c:ptCount val="17"/>
                <c:pt idx="0">
                  <c:v>39103963.700000003</c:v>
                </c:pt>
                <c:pt idx="1">
                  <c:v>37368596.200000003</c:v>
                </c:pt>
                <c:pt idx="2">
                  <c:v>33425875.499999993</c:v>
                </c:pt>
                <c:pt idx="3">
                  <c:v>32946188.600000009</c:v>
                </c:pt>
                <c:pt idx="4">
                  <c:v>29064480.500000004</c:v>
                </c:pt>
                <c:pt idx="5">
                  <c:v>41427588.399999999</c:v>
                </c:pt>
                <c:pt idx="6">
                  <c:v>33130152.349999998</c:v>
                </c:pt>
                <c:pt idx="7">
                  <c:v>37708393.149999991</c:v>
                </c:pt>
                <c:pt idx="8">
                  <c:v>34277716.899999999</c:v>
                </c:pt>
                <c:pt idx="9">
                  <c:v>36533151.049999997</c:v>
                </c:pt>
                <c:pt idx="10">
                  <c:v>21634096.75</c:v>
                </c:pt>
                <c:pt idx="11">
                  <c:v>42197682.099999994</c:v>
                </c:pt>
                <c:pt idx="12">
                  <c:v>53672452.349999994</c:v>
                </c:pt>
                <c:pt idx="13">
                  <c:v>31285112.099999994</c:v>
                </c:pt>
                <c:pt idx="14">
                  <c:v>48198510.850000009</c:v>
                </c:pt>
                <c:pt idx="15">
                  <c:v>18444787.349999998</c:v>
                </c:pt>
                <c:pt idx="16">
                  <c:v>14609195.749999998</c:v>
                </c:pt>
              </c:numCache>
            </c:numRef>
          </c:val>
          <c:smooth val="0"/>
          <c:extLst>
            <c:ext xmlns:c16="http://schemas.microsoft.com/office/drawing/2014/chart" uri="{C3380CC4-5D6E-409C-BE32-E72D297353CC}">
              <c16:uniqueId val="{00000000-1CF4-C942-8718-05CE8D70DFAD}"/>
            </c:ext>
          </c:extLst>
        </c:ser>
        <c:dLbls>
          <c:showLegendKey val="0"/>
          <c:showVal val="0"/>
          <c:showCatName val="0"/>
          <c:showSerName val="0"/>
          <c:showPercent val="0"/>
          <c:showBubbleSize val="0"/>
        </c:dLbls>
        <c:axId val="1614739007"/>
        <c:axId val="1609082495"/>
        <c:axId val="1600647679"/>
      </c:line3DChart>
      <c:catAx>
        <c:axId val="16147390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LK"/>
          </a:p>
        </c:txPr>
        <c:crossAx val="1609082495"/>
        <c:crosses val="autoZero"/>
        <c:auto val="1"/>
        <c:lblAlgn val="ctr"/>
        <c:lblOffset val="100"/>
        <c:noMultiLvlLbl val="0"/>
      </c:catAx>
      <c:valAx>
        <c:axId val="1609082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LK"/>
          </a:p>
        </c:txPr>
        <c:crossAx val="1614739007"/>
        <c:crosses val="autoZero"/>
        <c:crossBetween val="between"/>
      </c:valAx>
      <c:serAx>
        <c:axId val="1600647679"/>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LK"/>
          </a:p>
        </c:txPr>
        <c:crossAx val="160908249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L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L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Sales.xlsx]Sheet5!PivotTable4</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LK"/>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L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Sheet5!$A$4:$A$8</c:f>
              <c:strCache>
                <c:ptCount val="4"/>
                <c:pt idx="0">
                  <c:v>Electronics</c:v>
                </c:pt>
                <c:pt idx="1">
                  <c:v>Furniture</c:v>
                </c:pt>
                <c:pt idx="2">
                  <c:v>Clothing</c:v>
                </c:pt>
                <c:pt idx="3">
                  <c:v>Grocery</c:v>
                </c:pt>
              </c:strCache>
            </c:strRef>
          </c:cat>
          <c:val>
            <c:numRef>
              <c:f>Sheet5!$B$4:$B$8</c:f>
              <c:numCache>
                <c:formatCode>General</c:formatCode>
                <c:ptCount val="4"/>
                <c:pt idx="0">
                  <c:v>311858659.55000001</c:v>
                </c:pt>
                <c:pt idx="1">
                  <c:v>257933714.29999992</c:v>
                </c:pt>
                <c:pt idx="2">
                  <c:v>14238017.6</c:v>
                </c:pt>
                <c:pt idx="3">
                  <c:v>997552.14999999979</c:v>
                </c:pt>
              </c:numCache>
            </c:numRef>
          </c:val>
          <c:extLst>
            <c:ext xmlns:c16="http://schemas.microsoft.com/office/drawing/2014/chart" uri="{C3380CC4-5D6E-409C-BE32-E72D297353CC}">
              <c16:uniqueId val="{00000000-ED43-BF4F-9F38-E22D2C4E6684}"/>
            </c:ext>
          </c:extLst>
        </c:ser>
        <c:dLbls>
          <c:showLegendKey val="0"/>
          <c:showVal val="0"/>
          <c:showCatName val="0"/>
          <c:showSerName val="0"/>
          <c:showPercent val="0"/>
          <c:showBubbleSize val="0"/>
        </c:dLbls>
        <c:gapWidth val="115"/>
        <c:overlap val="-20"/>
        <c:axId val="1620515391"/>
        <c:axId val="1621908479"/>
      </c:barChart>
      <c:catAx>
        <c:axId val="162051539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LK"/>
          </a:p>
        </c:txPr>
        <c:crossAx val="1621908479"/>
        <c:crosses val="autoZero"/>
        <c:auto val="1"/>
        <c:lblAlgn val="ctr"/>
        <c:lblOffset val="100"/>
        <c:noMultiLvlLbl val="0"/>
      </c:catAx>
      <c:valAx>
        <c:axId val="162190847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LK"/>
          </a:p>
        </c:txPr>
        <c:crossAx val="162051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L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L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Sales.xlsx]Sheet6!PivotTable5</c:name>
    <c:fmtId val="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LK"/>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K"/>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s>
    <c:plotArea>
      <c:layout/>
      <c:barChart>
        <c:barDir val="bar"/>
        <c:grouping val="clustered"/>
        <c:varyColors val="0"/>
        <c:ser>
          <c:idx val="0"/>
          <c:order val="0"/>
          <c:tx>
            <c:strRef>
              <c:f>Sheet6!$B$3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Sheet6!$A$4:$A$12</c:f>
              <c:strCache>
                <c:ptCount val="8"/>
                <c:pt idx="0">
                  <c:v>Kurunegala</c:v>
                </c:pt>
                <c:pt idx="1">
                  <c:v>Colombo</c:v>
                </c:pt>
                <c:pt idx="2">
                  <c:v>Batticaloa</c:v>
                </c:pt>
                <c:pt idx="3">
                  <c:v>Kandy</c:v>
                </c:pt>
                <c:pt idx="4">
                  <c:v>Galle</c:v>
                </c:pt>
                <c:pt idx="5">
                  <c:v>Gampaha</c:v>
                </c:pt>
                <c:pt idx="6">
                  <c:v>Matara</c:v>
                </c:pt>
                <c:pt idx="7">
                  <c:v>Jaffna</c:v>
                </c:pt>
              </c:strCache>
            </c:strRef>
          </c:cat>
          <c:val>
            <c:numRef>
              <c:f>Sheet6!$B$4:$B$12</c:f>
              <c:numCache>
                <c:formatCode>General</c:formatCode>
                <c:ptCount val="8"/>
                <c:pt idx="0">
                  <c:v>91072504.300000012</c:v>
                </c:pt>
                <c:pt idx="1">
                  <c:v>83362628.600000009</c:v>
                </c:pt>
                <c:pt idx="2">
                  <c:v>80470396.050000027</c:v>
                </c:pt>
                <c:pt idx="3">
                  <c:v>73404449.5</c:v>
                </c:pt>
                <c:pt idx="4">
                  <c:v>68360646.649999991</c:v>
                </c:pt>
                <c:pt idx="5">
                  <c:v>66086294.200000003</c:v>
                </c:pt>
                <c:pt idx="6">
                  <c:v>65226142.500000007</c:v>
                </c:pt>
                <c:pt idx="7">
                  <c:v>57044881.800000004</c:v>
                </c:pt>
              </c:numCache>
            </c:numRef>
          </c:val>
          <c:extLst>
            <c:ext xmlns:c16="http://schemas.microsoft.com/office/drawing/2014/chart" uri="{C3380CC4-5D6E-409C-BE32-E72D297353CC}">
              <c16:uniqueId val="{00000000-37C0-064A-8968-BF957F7E9F33}"/>
            </c:ext>
          </c:extLst>
        </c:ser>
        <c:dLbls>
          <c:showLegendKey val="0"/>
          <c:showVal val="1"/>
          <c:showCatName val="0"/>
          <c:showSerName val="0"/>
          <c:showPercent val="0"/>
          <c:showBubbleSize val="0"/>
        </c:dLbls>
        <c:gapWidth val="150"/>
        <c:axId val="1507158975"/>
        <c:axId val="1637560127"/>
      </c:barChart>
      <c:catAx>
        <c:axId val="15071589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LK"/>
          </a:p>
        </c:txPr>
        <c:crossAx val="1637560127"/>
        <c:crosses val="autoZero"/>
        <c:auto val="1"/>
        <c:lblAlgn val="ctr"/>
        <c:lblOffset val="100"/>
        <c:noMultiLvlLbl val="0"/>
      </c:catAx>
      <c:valAx>
        <c:axId val="16375601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LK"/>
          </a:p>
        </c:txPr>
        <c:crossAx val="150715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L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bg1">
            <a:lumMod val="65000"/>
            <a:tint val="66000"/>
            <a:satMod val="160000"/>
          </a:schemeClr>
        </a:gs>
        <a:gs pos="50000">
          <a:schemeClr val="bg1">
            <a:lumMod val="65000"/>
            <a:tint val="44500"/>
            <a:satMod val="160000"/>
          </a:schemeClr>
        </a:gs>
        <a:gs pos="100000">
          <a:schemeClr val="bg1">
            <a:lumMod val="65000"/>
            <a:tint val="23500"/>
            <a:satMod val="160000"/>
          </a:schemeClr>
        </a:gs>
      </a:gsLst>
      <a:lin ang="13500000" scaled="1"/>
      <a:tileRect/>
    </a:gradFill>
    <a:ln w="9525" cap="flat" cmpd="sng" algn="ctr">
      <a:solidFill>
        <a:schemeClr val="tx1">
          <a:lumMod val="15000"/>
          <a:lumOff val="85000"/>
        </a:schemeClr>
      </a:solidFill>
      <a:round/>
    </a:ln>
    <a:effectLst/>
  </c:spPr>
  <c:txPr>
    <a:bodyPr/>
    <a:lstStyle/>
    <a:p>
      <a:pPr>
        <a:defRPr/>
      </a:pPr>
      <a:endParaRPr lang="en-L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Sales.xlsx]Sheet7!PivotTable6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solidFill>
                  <a:schemeClr val="tx1">
                    <a:lumMod val="75000"/>
                    <a:lumOff val="25000"/>
                  </a:schemeClr>
                </a:solidFill>
              </a:rPr>
              <a:t>TOP</a:t>
            </a:r>
            <a:r>
              <a:rPr lang="en-US" sz="1400" baseline="0">
                <a:solidFill>
                  <a:schemeClr val="tx1">
                    <a:lumMod val="75000"/>
                    <a:lumOff val="25000"/>
                  </a:schemeClr>
                </a:solidFill>
              </a:rPr>
              <a:t> 10 SUBCATEGORIES BY SALES</a:t>
            </a:r>
            <a:endParaRPr lang="en-US" sz="1400">
              <a:solidFill>
                <a:schemeClr val="tx1">
                  <a:lumMod val="75000"/>
                  <a:lumOff val="2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L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Sheet7!$B$3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Sheet7!$A$4:$A$17</c:f>
              <c:strCache>
                <c:ptCount val="13"/>
                <c:pt idx="0">
                  <c:v>Laptop</c:v>
                </c:pt>
                <c:pt idx="1">
                  <c:v>Mobile</c:v>
                </c:pt>
                <c:pt idx="2">
                  <c:v>Chair</c:v>
                </c:pt>
                <c:pt idx="3">
                  <c:v>Accessories</c:v>
                </c:pt>
                <c:pt idx="4">
                  <c:v>Sofa</c:v>
                </c:pt>
                <c:pt idx="5">
                  <c:v>Table</c:v>
                </c:pt>
                <c:pt idx="6">
                  <c:v>Women</c:v>
                </c:pt>
                <c:pt idx="7">
                  <c:v>Men</c:v>
                </c:pt>
                <c:pt idx="8">
                  <c:v>Snacks</c:v>
                </c:pt>
                <c:pt idx="9">
                  <c:v>Rice</c:v>
                </c:pt>
                <c:pt idx="10">
                  <c:v>Vegetables</c:v>
                </c:pt>
                <c:pt idx="11">
                  <c:v>Spices</c:v>
                </c:pt>
                <c:pt idx="12">
                  <c:v>Beverages</c:v>
                </c:pt>
              </c:strCache>
            </c:strRef>
          </c:cat>
          <c:val>
            <c:numRef>
              <c:f>Sheet7!$B$4:$B$17</c:f>
              <c:numCache>
                <c:formatCode>General</c:formatCode>
                <c:ptCount val="13"/>
                <c:pt idx="0">
                  <c:v>112874279.25000003</c:v>
                </c:pt>
                <c:pt idx="1">
                  <c:v>109820226.80000003</c:v>
                </c:pt>
                <c:pt idx="2">
                  <c:v>101390202.80000001</c:v>
                </c:pt>
                <c:pt idx="3">
                  <c:v>89164153.499999985</c:v>
                </c:pt>
                <c:pt idx="4">
                  <c:v>82673797.349999994</c:v>
                </c:pt>
                <c:pt idx="5">
                  <c:v>73869714.150000006</c:v>
                </c:pt>
                <c:pt idx="6">
                  <c:v>7465651.2000000002</c:v>
                </c:pt>
                <c:pt idx="7">
                  <c:v>6772366.4000000004</c:v>
                </c:pt>
                <c:pt idx="8">
                  <c:v>259313.89999999994</c:v>
                </c:pt>
                <c:pt idx="9">
                  <c:v>249610.35000000003</c:v>
                </c:pt>
                <c:pt idx="10">
                  <c:v>175315.15</c:v>
                </c:pt>
                <c:pt idx="11">
                  <c:v>158770.6</c:v>
                </c:pt>
                <c:pt idx="12">
                  <c:v>154542.14999999997</c:v>
                </c:pt>
              </c:numCache>
            </c:numRef>
          </c:val>
          <c:extLst>
            <c:ext xmlns:c16="http://schemas.microsoft.com/office/drawing/2014/chart" uri="{C3380CC4-5D6E-409C-BE32-E72D297353CC}">
              <c16:uniqueId val="{00000000-632C-0B4F-8918-914024C58971}"/>
            </c:ext>
          </c:extLst>
        </c:ser>
        <c:dLbls>
          <c:showLegendKey val="0"/>
          <c:showVal val="0"/>
          <c:showCatName val="0"/>
          <c:showSerName val="0"/>
          <c:showPercent val="0"/>
          <c:showBubbleSize val="0"/>
        </c:dLbls>
        <c:gapWidth val="150"/>
        <c:overlap val="100"/>
        <c:axId val="1615945151"/>
        <c:axId val="1597711103"/>
      </c:barChart>
      <c:catAx>
        <c:axId val="1615945151"/>
        <c:scaling>
          <c:orientation val="minMax"/>
        </c:scaling>
        <c:delete val="0"/>
        <c:axPos val="l"/>
        <c:numFmt formatCode="General" sourceLinked="1"/>
        <c:majorTickMark val="none"/>
        <c:minorTickMark val="none"/>
        <c:tickLblPos val="nextTo"/>
        <c:spPr>
          <a:noFill/>
          <a:ln w="9525" cap="flat" cmpd="sng" algn="ctr">
            <a:solidFill>
              <a:schemeClr val="dk1">
                <a:shade val="95000"/>
                <a:satMod val="10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LK"/>
          </a:p>
        </c:txPr>
        <c:crossAx val="1597711103"/>
        <c:crosses val="autoZero"/>
        <c:auto val="1"/>
        <c:lblAlgn val="ctr"/>
        <c:lblOffset val="100"/>
        <c:noMultiLvlLbl val="0"/>
      </c:catAx>
      <c:valAx>
        <c:axId val="159771110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dk1">
                <a:shade val="95000"/>
                <a:satMod val="105000"/>
              </a:schemeClr>
            </a:solidFill>
            <a:prstDash val="soli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LK"/>
          </a:p>
        </c:txPr>
        <c:crossAx val="161594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L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a:noFill/>
    </a:ln>
    <a:effectLst/>
  </c:spPr>
  <c:txPr>
    <a:bodyPr/>
    <a:lstStyle/>
    <a:p>
      <a:pPr>
        <a:defRPr/>
      </a:pPr>
      <a:endParaRPr lang="en-L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Sales.xlsx]Sheet6!PivotTable5</c:name>
    <c:fmtId val="7"/>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REGION SALES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K"/>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Sheet6!$B$3</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Sheet6!$A$4:$A$12</c:f>
              <c:strCache>
                <c:ptCount val="8"/>
                <c:pt idx="0">
                  <c:v>Kurunegala</c:v>
                </c:pt>
                <c:pt idx="1">
                  <c:v>Colombo</c:v>
                </c:pt>
                <c:pt idx="2">
                  <c:v>Batticaloa</c:v>
                </c:pt>
                <c:pt idx="3">
                  <c:v>Kandy</c:v>
                </c:pt>
                <c:pt idx="4">
                  <c:v>Galle</c:v>
                </c:pt>
                <c:pt idx="5">
                  <c:v>Gampaha</c:v>
                </c:pt>
                <c:pt idx="6">
                  <c:v>Matara</c:v>
                </c:pt>
                <c:pt idx="7">
                  <c:v>Jaffna</c:v>
                </c:pt>
              </c:strCache>
            </c:strRef>
          </c:cat>
          <c:val>
            <c:numRef>
              <c:f>Sheet6!$B$4:$B$12</c:f>
              <c:numCache>
                <c:formatCode>General</c:formatCode>
                <c:ptCount val="8"/>
                <c:pt idx="0">
                  <c:v>91072504.300000012</c:v>
                </c:pt>
                <c:pt idx="1">
                  <c:v>83362628.600000009</c:v>
                </c:pt>
                <c:pt idx="2">
                  <c:v>80470396.050000027</c:v>
                </c:pt>
                <c:pt idx="3">
                  <c:v>73404449.5</c:v>
                </c:pt>
                <c:pt idx="4">
                  <c:v>68360646.649999991</c:v>
                </c:pt>
                <c:pt idx="5">
                  <c:v>66086294.200000003</c:v>
                </c:pt>
                <c:pt idx="6">
                  <c:v>65226142.500000007</c:v>
                </c:pt>
                <c:pt idx="7">
                  <c:v>57044881.800000004</c:v>
                </c:pt>
              </c:numCache>
            </c:numRef>
          </c:val>
          <c:extLst>
            <c:ext xmlns:c16="http://schemas.microsoft.com/office/drawing/2014/chart" uri="{C3380CC4-5D6E-409C-BE32-E72D297353CC}">
              <c16:uniqueId val="{00000000-983D-9247-9B0E-578FE890CD30}"/>
            </c:ext>
          </c:extLst>
        </c:ser>
        <c:dLbls>
          <c:showLegendKey val="0"/>
          <c:showVal val="1"/>
          <c:showCatName val="0"/>
          <c:showSerName val="0"/>
          <c:showPercent val="0"/>
          <c:showBubbleSize val="0"/>
        </c:dLbls>
        <c:gapWidth val="227"/>
        <c:overlap val="-48"/>
        <c:axId val="1507158975"/>
        <c:axId val="1637560127"/>
      </c:barChart>
      <c:catAx>
        <c:axId val="1507158975"/>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LK"/>
          </a:p>
        </c:txPr>
        <c:crossAx val="1637560127"/>
        <c:crossesAt val="0"/>
        <c:auto val="1"/>
        <c:lblAlgn val="ctr"/>
        <c:lblOffset val="100"/>
        <c:noMultiLvlLbl val="0"/>
      </c:catAx>
      <c:valAx>
        <c:axId val="1637560127"/>
        <c:scaling>
          <c:orientation val="minMax"/>
          <c:min val="0"/>
        </c:scaling>
        <c:delete val="0"/>
        <c:axPos val="b"/>
        <c:numFmt formatCode="&quot;LKR&quot;#,##0.00" sourceLinked="0"/>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LK"/>
          </a:p>
        </c:txPr>
        <c:crossAx val="1507158975"/>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L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Sales.xlsx]Sheet5!PivotTable4</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CATEGORY SALES</a:t>
            </a:r>
          </a:p>
        </c:rich>
      </c:tx>
      <c:layout>
        <c:manualLayout>
          <c:xMode val="edge"/>
          <c:yMode val="edge"/>
          <c:x val="0.24225285467544638"/>
          <c:y val="3.4040568584709753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K"/>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Sheet5!$A$4:$A$8</c:f>
              <c:strCache>
                <c:ptCount val="4"/>
                <c:pt idx="0">
                  <c:v>Electronics</c:v>
                </c:pt>
                <c:pt idx="1">
                  <c:v>Furniture</c:v>
                </c:pt>
                <c:pt idx="2">
                  <c:v>Clothing</c:v>
                </c:pt>
                <c:pt idx="3">
                  <c:v>Grocery</c:v>
                </c:pt>
              </c:strCache>
            </c:strRef>
          </c:cat>
          <c:val>
            <c:numRef>
              <c:f>Sheet5!$B$4:$B$8</c:f>
              <c:numCache>
                <c:formatCode>General</c:formatCode>
                <c:ptCount val="4"/>
                <c:pt idx="0">
                  <c:v>311858659.55000001</c:v>
                </c:pt>
                <c:pt idx="1">
                  <c:v>257933714.29999992</c:v>
                </c:pt>
                <c:pt idx="2">
                  <c:v>14238017.6</c:v>
                </c:pt>
                <c:pt idx="3">
                  <c:v>997552.14999999979</c:v>
                </c:pt>
              </c:numCache>
            </c:numRef>
          </c:val>
          <c:extLst>
            <c:ext xmlns:c16="http://schemas.microsoft.com/office/drawing/2014/chart" uri="{C3380CC4-5D6E-409C-BE32-E72D297353CC}">
              <c16:uniqueId val="{00000000-B1BA-A244-B0A3-ABBEB2CED769}"/>
            </c:ext>
          </c:extLst>
        </c:ser>
        <c:dLbls>
          <c:showLegendKey val="0"/>
          <c:showVal val="0"/>
          <c:showCatName val="0"/>
          <c:showSerName val="0"/>
          <c:showPercent val="0"/>
          <c:showBubbleSize val="0"/>
        </c:dLbls>
        <c:gapWidth val="227"/>
        <c:overlap val="-48"/>
        <c:axId val="1620515391"/>
        <c:axId val="1621908479"/>
      </c:barChart>
      <c:catAx>
        <c:axId val="1620515391"/>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LK"/>
          </a:p>
        </c:txPr>
        <c:crossAx val="1621908479"/>
        <c:crosses val="autoZero"/>
        <c:auto val="1"/>
        <c:lblAlgn val="ctr"/>
        <c:lblOffset val="100"/>
        <c:noMultiLvlLbl val="0"/>
      </c:catAx>
      <c:valAx>
        <c:axId val="16219084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LK"/>
          </a:p>
        </c:txPr>
        <c:crossAx val="1620515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L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Sales.xlsx]Sheet7!PivotTable6</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TOP 10 SUBCATEGORIES BY SALES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LK"/>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Sheet7!$B$3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L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Sheet7!$A$4:$A$17</c:f>
              <c:strCache>
                <c:ptCount val="13"/>
                <c:pt idx="0">
                  <c:v>Laptop</c:v>
                </c:pt>
                <c:pt idx="1">
                  <c:v>Mobile</c:v>
                </c:pt>
                <c:pt idx="2">
                  <c:v>Chair</c:v>
                </c:pt>
                <c:pt idx="3">
                  <c:v>Accessories</c:v>
                </c:pt>
                <c:pt idx="4">
                  <c:v>Sofa</c:v>
                </c:pt>
                <c:pt idx="5">
                  <c:v>Table</c:v>
                </c:pt>
                <c:pt idx="6">
                  <c:v>Women</c:v>
                </c:pt>
                <c:pt idx="7">
                  <c:v>Men</c:v>
                </c:pt>
                <c:pt idx="8">
                  <c:v>Snacks</c:v>
                </c:pt>
                <c:pt idx="9">
                  <c:v>Rice</c:v>
                </c:pt>
                <c:pt idx="10">
                  <c:v>Vegetables</c:v>
                </c:pt>
                <c:pt idx="11">
                  <c:v>Spices</c:v>
                </c:pt>
                <c:pt idx="12">
                  <c:v>Beverages</c:v>
                </c:pt>
              </c:strCache>
            </c:strRef>
          </c:cat>
          <c:val>
            <c:numRef>
              <c:f>Sheet7!$B$4:$B$17</c:f>
              <c:numCache>
                <c:formatCode>General</c:formatCode>
                <c:ptCount val="13"/>
                <c:pt idx="0">
                  <c:v>112874279.25000003</c:v>
                </c:pt>
                <c:pt idx="1">
                  <c:v>109820226.80000003</c:v>
                </c:pt>
                <c:pt idx="2">
                  <c:v>101390202.80000001</c:v>
                </c:pt>
                <c:pt idx="3">
                  <c:v>89164153.499999985</c:v>
                </c:pt>
                <c:pt idx="4">
                  <c:v>82673797.349999994</c:v>
                </c:pt>
                <c:pt idx="5">
                  <c:v>73869714.150000006</c:v>
                </c:pt>
                <c:pt idx="6">
                  <c:v>7465651.2000000002</c:v>
                </c:pt>
                <c:pt idx="7">
                  <c:v>6772366.4000000004</c:v>
                </c:pt>
                <c:pt idx="8">
                  <c:v>259313.89999999994</c:v>
                </c:pt>
                <c:pt idx="9">
                  <c:v>249610.35000000003</c:v>
                </c:pt>
                <c:pt idx="10">
                  <c:v>175315.15</c:v>
                </c:pt>
                <c:pt idx="11">
                  <c:v>158770.6</c:v>
                </c:pt>
                <c:pt idx="12">
                  <c:v>154542.14999999997</c:v>
                </c:pt>
              </c:numCache>
            </c:numRef>
          </c:val>
          <c:extLst>
            <c:ext xmlns:c16="http://schemas.microsoft.com/office/drawing/2014/chart" uri="{C3380CC4-5D6E-409C-BE32-E72D297353CC}">
              <c16:uniqueId val="{00000000-C4C4-2F47-9268-2CAC13015000}"/>
            </c:ext>
          </c:extLst>
        </c:ser>
        <c:dLbls>
          <c:dLblPos val="ctr"/>
          <c:showLegendKey val="0"/>
          <c:showVal val="1"/>
          <c:showCatName val="0"/>
          <c:showSerName val="0"/>
          <c:showPercent val="0"/>
          <c:showBubbleSize val="0"/>
        </c:dLbls>
        <c:gapWidth val="79"/>
        <c:overlap val="100"/>
        <c:axId val="1615945151"/>
        <c:axId val="1597711103"/>
      </c:barChart>
      <c:catAx>
        <c:axId val="1615945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LK"/>
          </a:p>
        </c:txPr>
        <c:crossAx val="1597711103"/>
        <c:crosses val="autoZero"/>
        <c:auto val="1"/>
        <c:lblAlgn val="ctr"/>
        <c:lblOffset val="100"/>
        <c:noMultiLvlLbl val="0"/>
      </c:catAx>
      <c:valAx>
        <c:axId val="1597711103"/>
        <c:scaling>
          <c:orientation val="minMax"/>
        </c:scaling>
        <c:delete val="1"/>
        <c:axPos val="b"/>
        <c:numFmt formatCode="General" sourceLinked="1"/>
        <c:majorTickMark val="none"/>
        <c:minorTickMark val="none"/>
        <c:tickLblPos val="nextTo"/>
        <c:crossAx val="1615945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L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FOR Sales.xlsx]Sheet4!PivotTable3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LK"/>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831111253861501E-2"/>
          <c:y val="0.11489117369073888"/>
          <c:w val="0.79397325569124422"/>
          <c:h val="0.76790063963708399"/>
        </c:manualLayout>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none"/>
          </c:marker>
          <c:cat>
            <c:multiLvlStrRef>
              <c:f>Sheet4!$A$4:$A$23</c:f>
              <c:multiLvlStrCache>
                <c:ptCount val="17"/>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lvl>
                <c:lvl>
                  <c:pt idx="0">
                    <c:v>2023</c:v>
                  </c:pt>
                  <c:pt idx="12">
                    <c:v>2024</c:v>
                  </c:pt>
                </c:lvl>
              </c:multiLvlStrCache>
            </c:multiLvlStrRef>
          </c:cat>
          <c:val>
            <c:numRef>
              <c:f>Sheet4!$B$4:$B$23</c:f>
              <c:numCache>
                <c:formatCode>General</c:formatCode>
                <c:ptCount val="17"/>
                <c:pt idx="0">
                  <c:v>39103963.700000003</c:v>
                </c:pt>
                <c:pt idx="1">
                  <c:v>37368596.200000003</c:v>
                </c:pt>
                <c:pt idx="2">
                  <c:v>33425875.499999993</c:v>
                </c:pt>
                <c:pt idx="3">
                  <c:v>32946188.600000009</c:v>
                </c:pt>
                <c:pt idx="4">
                  <c:v>29064480.500000004</c:v>
                </c:pt>
                <c:pt idx="5">
                  <c:v>41427588.399999999</c:v>
                </c:pt>
                <c:pt idx="6">
                  <c:v>33130152.349999998</c:v>
                </c:pt>
                <c:pt idx="7">
                  <c:v>37708393.149999991</c:v>
                </c:pt>
                <c:pt idx="8">
                  <c:v>34277716.899999999</c:v>
                </c:pt>
                <c:pt idx="9">
                  <c:v>36533151.049999997</c:v>
                </c:pt>
                <c:pt idx="10">
                  <c:v>21634096.75</c:v>
                </c:pt>
                <c:pt idx="11">
                  <c:v>42197682.099999994</c:v>
                </c:pt>
                <c:pt idx="12">
                  <c:v>53672452.349999994</c:v>
                </c:pt>
                <c:pt idx="13">
                  <c:v>31285112.099999994</c:v>
                </c:pt>
                <c:pt idx="14">
                  <c:v>48198510.850000009</c:v>
                </c:pt>
                <c:pt idx="15">
                  <c:v>18444787.349999998</c:v>
                </c:pt>
                <c:pt idx="16">
                  <c:v>14609195.749999998</c:v>
                </c:pt>
              </c:numCache>
            </c:numRef>
          </c:val>
          <c:smooth val="0"/>
          <c:extLst>
            <c:ext xmlns:c16="http://schemas.microsoft.com/office/drawing/2014/chart" uri="{C3380CC4-5D6E-409C-BE32-E72D297353CC}">
              <c16:uniqueId val="{00000000-1F69-994C-85C4-81B269D1ABAC}"/>
            </c:ext>
          </c:extLst>
        </c:ser>
        <c:dLbls>
          <c:showLegendKey val="0"/>
          <c:showVal val="0"/>
          <c:showCatName val="0"/>
          <c:showSerName val="0"/>
          <c:showPercent val="0"/>
          <c:showBubbleSize val="0"/>
        </c:dLbls>
        <c:smooth val="0"/>
        <c:axId val="1614739007"/>
        <c:axId val="1609082495"/>
      </c:lineChart>
      <c:catAx>
        <c:axId val="16147390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LK"/>
          </a:p>
        </c:txPr>
        <c:crossAx val="1609082495"/>
        <c:crosses val="autoZero"/>
        <c:auto val="1"/>
        <c:lblAlgn val="ctr"/>
        <c:lblOffset val="100"/>
        <c:noMultiLvlLbl val="0"/>
      </c:catAx>
      <c:valAx>
        <c:axId val="1609082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LK"/>
          </a:p>
        </c:txPr>
        <c:crossAx val="161473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L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image" Target="../media/image3.pn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660400</xdr:colOff>
      <xdr:row>9</xdr:row>
      <xdr:rowOff>76200</xdr:rowOff>
    </xdr:from>
    <xdr:to>
      <xdr:col>7</xdr:col>
      <xdr:colOff>139700</xdr:colOff>
      <xdr:row>26</xdr:row>
      <xdr:rowOff>25400</xdr:rowOff>
    </xdr:to>
    <xdr:graphicFrame macro="">
      <xdr:nvGraphicFramePr>
        <xdr:cNvPr id="4" name="Chart 3">
          <a:extLst>
            <a:ext uri="{FF2B5EF4-FFF2-40B4-BE49-F238E27FC236}">
              <a16:creationId xmlns:a16="http://schemas.microsoft.com/office/drawing/2014/main" id="{CA80FE91-AFBD-89E7-8EA4-7A397E5F73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203200</xdr:colOff>
      <xdr:row>10</xdr:row>
      <xdr:rowOff>50800</xdr:rowOff>
    </xdr:from>
    <xdr:to>
      <xdr:col>10</xdr:col>
      <xdr:colOff>381000</xdr:colOff>
      <xdr:row>23</xdr:row>
      <xdr:rowOff>3169</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19819426-C612-BCD3-EEB3-3151A332AC6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175500" y="19558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165100</xdr:colOff>
      <xdr:row>15</xdr:row>
      <xdr:rowOff>88900</xdr:rowOff>
    </xdr:from>
    <xdr:to>
      <xdr:col>9</xdr:col>
      <xdr:colOff>342900</xdr:colOff>
      <xdr:row>28</xdr:row>
      <xdr:rowOff>41269</xdr:rowOff>
    </xdr:to>
    <mc:AlternateContent xmlns:mc="http://schemas.openxmlformats.org/markup-compatibility/2006" xmlns:a14="http://schemas.microsoft.com/office/drawing/2010/main">
      <mc:Choice Requires="a14">
        <xdr:graphicFrame macro="">
          <xdr:nvGraphicFramePr>
            <xdr:cNvPr id="2" name="Months (OrderDate)">
              <a:extLst>
                <a:ext uri="{FF2B5EF4-FFF2-40B4-BE49-F238E27FC236}">
                  <a16:creationId xmlns:a16="http://schemas.microsoft.com/office/drawing/2014/main" id="{8ADEABD1-A00E-6CF3-7E7F-DBC9BC98B481}"/>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mlns="">
        <xdr:sp macro="" textlink="">
          <xdr:nvSpPr>
            <xdr:cNvPr id="0" name=""/>
            <xdr:cNvSpPr>
              <a:spLocks noTextEdit="1"/>
            </xdr:cNvSpPr>
          </xdr:nvSpPr>
          <xdr:spPr>
            <a:xfrm>
              <a:off x="6311900" y="29464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660400</xdr:colOff>
      <xdr:row>9</xdr:row>
      <xdr:rowOff>76200</xdr:rowOff>
    </xdr:from>
    <xdr:to>
      <xdr:col>8</xdr:col>
      <xdr:colOff>279400</xdr:colOff>
      <xdr:row>23</xdr:row>
      <xdr:rowOff>152400</xdr:rowOff>
    </xdr:to>
    <xdr:graphicFrame macro="">
      <xdr:nvGraphicFramePr>
        <xdr:cNvPr id="3" name="Chart 2">
          <a:extLst>
            <a:ext uri="{FF2B5EF4-FFF2-40B4-BE49-F238E27FC236}">
              <a16:creationId xmlns:a16="http://schemas.microsoft.com/office/drawing/2014/main" id="{BFAF907D-E820-07F6-0A21-DBAEB963C2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520700</xdr:colOff>
      <xdr:row>10</xdr:row>
      <xdr:rowOff>76200</xdr:rowOff>
    </xdr:from>
    <xdr:to>
      <xdr:col>6</xdr:col>
      <xdr:colOff>698500</xdr:colOff>
      <xdr:row>23</xdr:row>
      <xdr:rowOff>28569</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36C32A61-2764-13B1-1337-BE13CAD5B00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191000" y="19812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660400</xdr:colOff>
      <xdr:row>9</xdr:row>
      <xdr:rowOff>76200</xdr:rowOff>
    </xdr:from>
    <xdr:to>
      <xdr:col>7</xdr:col>
      <xdr:colOff>584200</xdr:colOff>
      <xdr:row>28</xdr:row>
      <xdr:rowOff>25400</xdr:rowOff>
    </xdr:to>
    <xdr:graphicFrame macro="">
      <xdr:nvGraphicFramePr>
        <xdr:cNvPr id="3" name="Chart 2">
          <a:extLst>
            <a:ext uri="{FF2B5EF4-FFF2-40B4-BE49-F238E27FC236}">
              <a16:creationId xmlns:a16="http://schemas.microsoft.com/office/drawing/2014/main" id="{7DB603DD-DC86-7B68-D370-4B2B494039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520700</xdr:colOff>
      <xdr:row>10</xdr:row>
      <xdr:rowOff>76200</xdr:rowOff>
    </xdr:from>
    <xdr:to>
      <xdr:col>6</xdr:col>
      <xdr:colOff>698500</xdr:colOff>
      <xdr:row>23</xdr:row>
      <xdr:rowOff>28569</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5AE78320-E963-AE3F-7683-2987A5B06A0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191000" y="19812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660400</xdr:colOff>
      <xdr:row>9</xdr:row>
      <xdr:rowOff>76200</xdr:rowOff>
    </xdr:from>
    <xdr:to>
      <xdr:col>7</xdr:col>
      <xdr:colOff>520700</xdr:colOff>
      <xdr:row>24</xdr:row>
      <xdr:rowOff>25400</xdr:rowOff>
    </xdr:to>
    <xdr:graphicFrame macro="">
      <xdr:nvGraphicFramePr>
        <xdr:cNvPr id="2" name="Chart 1">
          <a:extLst>
            <a:ext uri="{FF2B5EF4-FFF2-40B4-BE49-F238E27FC236}">
              <a16:creationId xmlns:a16="http://schemas.microsoft.com/office/drawing/2014/main" id="{A473D65D-0E45-324B-9E9D-6A3EB7CC53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165100</xdr:colOff>
      <xdr:row>15</xdr:row>
      <xdr:rowOff>88900</xdr:rowOff>
    </xdr:from>
    <xdr:to>
      <xdr:col>9</xdr:col>
      <xdr:colOff>342900</xdr:colOff>
      <xdr:row>28</xdr:row>
      <xdr:rowOff>41269</xdr:rowOff>
    </xdr:to>
    <mc:AlternateContent xmlns:mc="http://schemas.openxmlformats.org/markup-compatibility/2006" xmlns:a14="http://schemas.microsoft.com/office/drawing/2010/main">
      <mc:Choice Requires="a14">
        <xdr:graphicFrame macro="">
          <xdr:nvGraphicFramePr>
            <xdr:cNvPr id="4" name="SubCategory">
              <a:extLst>
                <a:ext uri="{FF2B5EF4-FFF2-40B4-BE49-F238E27FC236}">
                  <a16:creationId xmlns:a16="http://schemas.microsoft.com/office/drawing/2014/main" id="{9854908B-F870-F52F-23EF-AD148A3E0DCA}"/>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6311900" y="29464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737973</xdr:colOff>
      <xdr:row>6</xdr:row>
      <xdr:rowOff>34323</xdr:rowOff>
    </xdr:from>
    <xdr:to>
      <xdr:col>8</xdr:col>
      <xdr:colOff>686487</xdr:colOff>
      <xdr:row>12</xdr:row>
      <xdr:rowOff>17162</xdr:rowOff>
    </xdr:to>
    <xdr:sp macro="" textlink="Sheet8!G1">
      <xdr:nvSpPr>
        <xdr:cNvPr id="6" name="Rounded Rectangle 5">
          <a:extLst>
            <a:ext uri="{FF2B5EF4-FFF2-40B4-BE49-F238E27FC236}">
              <a16:creationId xmlns:a16="http://schemas.microsoft.com/office/drawing/2014/main" id="{ECC675A5-14D0-24D7-93FD-CEB207A1F572}"/>
            </a:ext>
          </a:extLst>
        </xdr:cNvPr>
        <xdr:cNvSpPr/>
      </xdr:nvSpPr>
      <xdr:spPr>
        <a:xfrm>
          <a:off x="2385541" y="1167026"/>
          <a:ext cx="4891216" cy="1115541"/>
        </a:xfrm>
        <a:prstGeom prst="roundRect">
          <a:avLst/>
        </a:prstGeom>
        <a:gradFill flip="none" rotWithShape="1">
          <a:gsLst>
            <a:gs pos="0">
              <a:srgbClr val="B3D9ED">
                <a:shade val="30000"/>
                <a:satMod val="115000"/>
              </a:srgbClr>
            </a:gs>
            <a:gs pos="50000">
              <a:srgbClr val="B3D9ED">
                <a:shade val="67500"/>
                <a:satMod val="115000"/>
              </a:srgbClr>
            </a:gs>
            <a:gs pos="100000">
              <a:srgbClr val="B3D9ED">
                <a:shade val="100000"/>
                <a:satMod val="115000"/>
              </a:srgbClr>
            </a:gs>
          </a:gsLst>
          <a:lin ang="2700000" scaled="1"/>
          <a:tileRect/>
        </a:gra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107BFC4-74CF-0746-9A5A-732380149D3D}" type="TxLink">
            <a:rPr lang="en-US" sz="1100" b="0" i="0" u="none" strike="noStrike">
              <a:solidFill>
                <a:srgbClr val="000000"/>
              </a:solidFill>
              <a:latin typeface="Calibri"/>
              <a:cs typeface="Calibri"/>
            </a:rPr>
            <a:pPr algn="ctr"/>
            <a:t> </a:t>
          </a:fld>
          <a:endParaRPr lang="en-GB" sz="2800" b="1">
            <a:latin typeface="+mj-lt"/>
          </a:endParaRPr>
        </a:p>
      </xdr:txBody>
    </xdr:sp>
    <xdr:clientData/>
  </xdr:twoCellAnchor>
  <xdr:twoCellAnchor>
    <xdr:from>
      <xdr:col>0</xdr:col>
      <xdr:colOff>94537</xdr:colOff>
      <xdr:row>2</xdr:row>
      <xdr:rowOff>107134</xdr:rowOff>
    </xdr:from>
    <xdr:to>
      <xdr:col>19</xdr:col>
      <xdr:colOff>500937</xdr:colOff>
      <xdr:row>57</xdr:row>
      <xdr:rowOff>153315</xdr:rowOff>
    </xdr:to>
    <xdr:sp macro="" textlink="">
      <xdr:nvSpPr>
        <xdr:cNvPr id="5" name="Rectangle 4">
          <a:extLst>
            <a:ext uri="{FF2B5EF4-FFF2-40B4-BE49-F238E27FC236}">
              <a16:creationId xmlns:a16="http://schemas.microsoft.com/office/drawing/2014/main" id="{656EDA8E-5035-FDE1-FE0E-D49CBA187495}"/>
            </a:ext>
          </a:extLst>
        </xdr:cNvPr>
        <xdr:cNvSpPr/>
      </xdr:nvSpPr>
      <xdr:spPr>
        <a:xfrm>
          <a:off x="94537" y="484702"/>
          <a:ext cx="16058292" cy="10429289"/>
        </a:xfrm>
        <a:prstGeom prst="rect">
          <a:avLst/>
        </a:prstGeom>
        <a:gradFill flip="none" rotWithShape="1">
          <a:gsLst>
            <a:gs pos="0">
              <a:schemeClr val="bg1">
                <a:lumMod val="75000"/>
                <a:tint val="66000"/>
                <a:satMod val="160000"/>
              </a:schemeClr>
            </a:gs>
            <a:gs pos="50000">
              <a:schemeClr val="bg1">
                <a:lumMod val="75000"/>
                <a:tint val="44500"/>
                <a:satMod val="160000"/>
              </a:schemeClr>
            </a:gs>
            <a:gs pos="100000">
              <a:schemeClr val="bg1">
                <a:lumMod val="75000"/>
                <a:tint val="23500"/>
                <a:satMod val="160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1"/>
        </a:p>
      </xdr:txBody>
    </xdr:sp>
    <xdr:clientData/>
  </xdr:twoCellAnchor>
  <xdr:twoCellAnchor>
    <xdr:from>
      <xdr:col>0</xdr:col>
      <xdr:colOff>85811</xdr:colOff>
      <xdr:row>0</xdr:row>
      <xdr:rowOff>11652</xdr:rowOff>
    </xdr:from>
    <xdr:to>
      <xdr:col>19</xdr:col>
      <xdr:colOff>497702</xdr:colOff>
      <xdr:row>5</xdr:row>
      <xdr:rowOff>120135</xdr:rowOff>
    </xdr:to>
    <xdr:sp macro="" textlink="">
      <xdr:nvSpPr>
        <xdr:cNvPr id="16" name="Rounded Rectangle 15">
          <a:extLst>
            <a:ext uri="{FF2B5EF4-FFF2-40B4-BE49-F238E27FC236}">
              <a16:creationId xmlns:a16="http://schemas.microsoft.com/office/drawing/2014/main" id="{84F7A47B-15A4-D384-1A84-F34DB0378767}"/>
            </a:ext>
          </a:extLst>
        </xdr:cNvPr>
        <xdr:cNvSpPr/>
      </xdr:nvSpPr>
      <xdr:spPr>
        <a:xfrm>
          <a:off x="85811" y="11652"/>
          <a:ext cx="16200656" cy="1049224"/>
        </a:xfrm>
        <a:prstGeom prst="roundRect">
          <a:avLst/>
        </a:prstGeom>
        <a:solidFill>
          <a:srgbClr val="1F2A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3600" b="1">
              <a:solidFill>
                <a:schemeClr val="bg1"/>
              </a:solidFill>
              <a:latin typeface="+mj-lt"/>
            </a:rPr>
            <a:t>SALES</a:t>
          </a:r>
          <a:r>
            <a:rPr lang="en-GB" sz="3600" b="1" baseline="0">
              <a:solidFill>
                <a:schemeClr val="bg1"/>
              </a:solidFill>
              <a:latin typeface="+mj-lt"/>
            </a:rPr>
            <a:t> PERFORMANCE DASHBOARD </a:t>
          </a:r>
        </a:p>
      </xdr:txBody>
    </xdr:sp>
    <xdr:clientData/>
  </xdr:twoCellAnchor>
  <xdr:twoCellAnchor>
    <xdr:from>
      <xdr:col>2</xdr:col>
      <xdr:colOff>760879</xdr:colOff>
      <xdr:row>32</xdr:row>
      <xdr:rowOff>14852</xdr:rowOff>
    </xdr:from>
    <xdr:to>
      <xdr:col>7</xdr:col>
      <xdr:colOff>426443</xdr:colOff>
      <xdr:row>53</xdr:row>
      <xdr:rowOff>85304</xdr:rowOff>
    </xdr:to>
    <xdr:graphicFrame macro="">
      <xdr:nvGraphicFramePr>
        <xdr:cNvPr id="17" name="Chart 16">
          <a:extLst>
            <a:ext uri="{FF2B5EF4-FFF2-40B4-BE49-F238E27FC236}">
              <a16:creationId xmlns:a16="http://schemas.microsoft.com/office/drawing/2014/main" id="{CE42AE82-E3F7-4549-845F-ADD9B358F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751243</xdr:colOff>
      <xdr:row>12</xdr:row>
      <xdr:rowOff>156652</xdr:rowOff>
    </xdr:from>
    <xdr:to>
      <xdr:col>7</xdr:col>
      <xdr:colOff>394450</xdr:colOff>
      <xdr:row>31</xdr:row>
      <xdr:rowOff>159999</xdr:rowOff>
    </xdr:to>
    <xdr:graphicFrame macro="">
      <xdr:nvGraphicFramePr>
        <xdr:cNvPr id="18" name="Chart 17">
          <a:extLst>
            <a:ext uri="{FF2B5EF4-FFF2-40B4-BE49-F238E27FC236}">
              <a16:creationId xmlns:a16="http://schemas.microsoft.com/office/drawing/2014/main" id="{603E4A21-A074-EE43-8ADD-FD5ABDF5D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488271</xdr:colOff>
      <xdr:row>34</xdr:row>
      <xdr:rowOff>116080</xdr:rowOff>
    </xdr:from>
    <xdr:to>
      <xdr:col>19</xdr:col>
      <xdr:colOff>192423</xdr:colOff>
      <xdr:row>53</xdr:row>
      <xdr:rowOff>103147</xdr:rowOff>
    </xdr:to>
    <xdr:graphicFrame macro="">
      <xdr:nvGraphicFramePr>
        <xdr:cNvPr id="19" name="Chart 18">
          <a:extLst>
            <a:ext uri="{FF2B5EF4-FFF2-40B4-BE49-F238E27FC236}">
              <a16:creationId xmlns:a16="http://schemas.microsoft.com/office/drawing/2014/main" id="{2227F462-7F86-E942-8C27-EF28455EC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179890</xdr:colOff>
      <xdr:row>46</xdr:row>
      <xdr:rowOff>149819</xdr:rowOff>
    </xdr:from>
    <xdr:to>
      <xdr:col>2</xdr:col>
      <xdr:colOff>680245</xdr:colOff>
      <xdr:row>53</xdr:row>
      <xdr:rowOff>24940</xdr:rowOff>
    </xdr:to>
    <mc:AlternateContent xmlns:mc="http://schemas.openxmlformats.org/markup-compatibility/2006" xmlns:a14="http://schemas.microsoft.com/office/drawing/2010/main">
      <mc:Choice Requires="a14">
        <xdr:graphicFrame macro="">
          <xdr:nvGraphicFramePr>
            <xdr:cNvPr id="22" name="Segment 1">
              <a:extLst>
                <a:ext uri="{FF2B5EF4-FFF2-40B4-BE49-F238E27FC236}">
                  <a16:creationId xmlns:a16="http://schemas.microsoft.com/office/drawing/2014/main" id="{34535705-1DC1-5044-98F9-AE178441A701}"/>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79890" y="8833873"/>
              <a:ext cx="2147923" cy="119660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191254</xdr:colOff>
      <xdr:row>38</xdr:row>
      <xdr:rowOff>128283</xdr:rowOff>
    </xdr:from>
    <xdr:to>
      <xdr:col>2</xdr:col>
      <xdr:colOff>678165</xdr:colOff>
      <xdr:row>46</xdr:row>
      <xdr:rowOff>8062</xdr:rowOff>
    </xdr:to>
    <mc:AlternateContent xmlns:mc="http://schemas.openxmlformats.org/markup-compatibility/2006" xmlns:a14="http://schemas.microsoft.com/office/drawing/2010/main">
      <mc:Choice Requires="a14">
        <xdr:graphicFrame macro="">
          <xdr:nvGraphicFramePr>
            <xdr:cNvPr id="23" name="Category 1">
              <a:extLst>
                <a:ext uri="{FF2B5EF4-FFF2-40B4-BE49-F238E27FC236}">
                  <a16:creationId xmlns:a16="http://schemas.microsoft.com/office/drawing/2014/main" id="{74B1B877-745E-4E4E-B6E4-6D79CA64E26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91254" y="7302067"/>
              <a:ext cx="2134479" cy="13900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67733</xdr:colOff>
      <xdr:row>24</xdr:row>
      <xdr:rowOff>76381</xdr:rowOff>
    </xdr:from>
    <xdr:to>
      <xdr:col>2</xdr:col>
      <xdr:colOff>577272</xdr:colOff>
      <xdr:row>38</xdr:row>
      <xdr:rowOff>67733</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4B7DDF8F-606B-F148-B5A5-FBA6B01C87E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7733" y="4607192"/>
              <a:ext cx="2157107" cy="26343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471839</xdr:colOff>
      <xdr:row>12</xdr:row>
      <xdr:rowOff>146286</xdr:rowOff>
    </xdr:from>
    <xdr:to>
      <xdr:col>19</xdr:col>
      <xdr:colOff>174575</xdr:colOff>
      <xdr:row>34</xdr:row>
      <xdr:rowOff>55484</xdr:rowOff>
    </xdr:to>
    <xdr:graphicFrame macro="">
      <xdr:nvGraphicFramePr>
        <xdr:cNvPr id="3" name="Chart 2">
          <a:extLst>
            <a:ext uri="{FF2B5EF4-FFF2-40B4-BE49-F238E27FC236}">
              <a16:creationId xmlns:a16="http://schemas.microsoft.com/office/drawing/2014/main" id="{CD6F9F76-D272-2B4B-A4A5-A5D68485E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67734</xdr:colOff>
      <xdr:row>6</xdr:row>
      <xdr:rowOff>118533</xdr:rowOff>
    </xdr:from>
    <xdr:to>
      <xdr:col>2</xdr:col>
      <xdr:colOff>584339</xdr:colOff>
      <xdr:row>24</xdr:row>
      <xdr:rowOff>33867</xdr:rowOff>
    </xdr:to>
    <mc:AlternateContent xmlns:mc="http://schemas.openxmlformats.org/markup-compatibility/2006" xmlns:a14="http://schemas.microsoft.com/office/drawing/2010/main">
      <mc:Choice Requires="a14">
        <xdr:graphicFrame macro="">
          <xdr:nvGraphicFramePr>
            <xdr:cNvPr id="4" name="Months (OrderDate) 1">
              <a:extLst>
                <a:ext uri="{FF2B5EF4-FFF2-40B4-BE49-F238E27FC236}">
                  <a16:creationId xmlns:a16="http://schemas.microsoft.com/office/drawing/2014/main" id="{6340B18F-6736-CE4E-8E1B-7E66597AD055}"/>
                </a:ext>
              </a:extLst>
            </xdr:cNvPr>
            <xdr:cNvGraphicFramePr/>
          </xdr:nvGraphicFramePr>
          <xdr:xfrm>
            <a:off x="0" y="0"/>
            <a:ext cx="0" cy="0"/>
          </xdr:xfrm>
          <a:graphic>
            <a:graphicData uri="http://schemas.microsoft.com/office/drawing/2010/slicer">
              <sle:slicer xmlns:sle="http://schemas.microsoft.com/office/drawing/2010/slicer" name="Months (OrderDate) 1"/>
            </a:graphicData>
          </a:graphic>
        </xdr:graphicFrame>
      </mc:Choice>
      <mc:Fallback xmlns="">
        <xdr:sp macro="" textlink="">
          <xdr:nvSpPr>
            <xdr:cNvPr id="0" name=""/>
            <xdr:cNvSpPr>
              <a:spLocks noTextEdit="1"/>
            </xdr:cNvSpPr>
          </xdr:nvSpPr>
          <xdr:spPr>
            <a:xfrm>
              <a:off x="67734" y="1251236"/>
              <a:ext cx="2164173" cy="331344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789459</xdr:colOff>
      <xdr:row>6</xdr:row>
      <xdr:rowOff>68648</xdr:rowOff>
    </xdr:from>
    <xdr:to>
      <xdr:col>8</xdr:col>
      <xdr:colOff>635001</xdr:colOff>
      <xdr:row>12</xdr:row>
      <xdr:rowOff>0</xdr:rowOff>
    </xdr:to>
    <xdr:grpSp>
      <xdr:nvGrpSpPr>
        <xdr:cNvPr id="15" name="Group 14">
          <a:extLst>
            <a:ext uri="{FF2B5EF4-FFF2-40B4-BE49-F238E27FC236}">
              <a16:creationId xmlns:a16="http://schemas.microsoft.com/office/drawing/2014/main" id="{3489A51F-709B-176D-F281-2163387D5044}"/>
            </a:ext>
          </a:extLst>
        </xdr:cNvPr>
        <xdr:cNvGrpSpPr/>
      </xdr:nvGrpSpPr>
      <xdr:grpSpPr>
        <a:xfrm>
          <a:off x="2451434" y="1197537"/>
          <a:ext cx="4831468" cy="1060241"/>
          <a:chOff x="2437027" y="1201351"/>
          <a:chExt cx="4788244" cy="1064054"/>
        </a:xfrm>
        <a:gradFill flip="none" rotWithShape="1">
          <a:gsLst>
            <a:gs pos="0">
              <a:srgbClr val="B3D9ED">
                <a:shade val="30000"/>
                <a:satMod val="115000"/>
              </a:srgbClr>
            </a:gs>
            <a:gs pos="50000">
              <a:srgbClr val="B3D9ED">
                <a:shade val="67500"/>
                <a:satMod val="115000"/>
              </a:srgbClr>
            </a:gs>
            <a:gs pos="100000">
              <a:srgbClr val="B3D9ED">
                <a:shade val="100000"/>
                <a:satMod val="115000"/>
              </a:srgbClr>
            </a:gs>
          </a:gsLst>
          <a:lin ang="5400000" scaled="1"/>
          <a:tileRect/>
        </a:gradFill>
      </xdr:grpSpPr>
      <xdr:sp macro="" textlink="Sheet8!A4">
        <xdr:nvSpPr>
          <xdr:cNvPr id="9" name="Rounded Rectangle 8">
            <a:extLst>
              <a:ext uri="{FF2B5EF4-FFF2-40B4-BE49-F238E27FC236}">
                <a16:creationId xmlns:a16="http://schemas.microsoft.com/office/drawing/2014/main" id="{A1B50213-2F05-414E-A067-5522F9080E1D}"/>
              </a:ext>
            </a:extLst>
          </xdr:cNvPr>
          <xdr:cNvSpPr/>
        </xdr:nvSpPr>
        <xdr:spPr>
          <a:xfrm>
            <a:off x="2437027" y="1596080"/>
            <a:ext cx="4788244" cy="669325"/>
          </a:xfrm>
          <a:prstGeom prst="roundRect">
            <a:avLst>
              <a:gd name="adj" fmla="val 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BE1A53D-28F9-9F41-AA9F-F31BB48575E2}" type="TxLink">
              <a:rPr lang="en-US" sz="3200" b="1" i="0" u="none" strike="noStrike">
                <a:solidFill>
                  <a:srgbClr val="000000"/>
                </a:solidFill>
                <a:latin typeface="Calibri"/>
                <a:cs typeface="Calibri"/>
              </a:rPr>
              <a:pPr algn="ctr"/>
              <a:t>LKR585,027,943.60</a:t>
            </a:fld>
            <a:endParaRPr lang="en-GB" sz="3200" b="1"/>
          </a:p>
        </xdr:txBody>
      </xdr:sp>
      <xdr:sp macro="" textlink="">
        <xdr:nvSpPr>
          <xdr:cNvPr id="10" name="Rounded Rectangle 9">
            <a:extLst>
              <a:ext uri="{FF2B5EF4-FFF2-40B4-BE49-F238E27FC236}">
                <a16:creationId xmlns:a16="http://schemas.microsoft.com/office/drawing/2014/main" id="{5B66D33F-DFBB-6AED-9B23-2E58C82EE507}"/>
              </a:ext>
            </a:extLst>
          </xdr:cNvPr>
          <xdr:cNvSpPr/>
        </xdr:nvSpPr>
        <xdr:spPr>
          <a:xfrm>
            <a:off x="2437027" y="1201351"/>
            <a:ext cx="4780473" cy="411892"/>
          </a:xfrm>
          <a:prstGeom prst="roundRect">
            <a:avLst>
              <a:gd name="adj" fmla="val 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chemeClr val="tx1"/>
                </a:solidFill>
                <a:latin typeface="+mj-lt"/>
              </a:rPr>
              <a:t>Total</a:t>
            </a:r>
            <a:r>
              <a:rPr lang="en-GB" sz="2800" b="1" baseline="0">
                <a:solidFill>
                  <a:schemeClr val="tx1"/>
                </a:solidFill>
                <a:latin typeface="+mj-lt"/>
              </a:rPr>
              <a:t> Sales</a:t>
            </a:r>
            <a:endParaRPr lang="en-GB" sz="2800" b="1">
              <a:solidFill>
                <a:schemeClr val="tx1"/>
              </a:solidFill>
              <a:latin typeface="+mj-lt"/>
            </a:endParaRPr>
          </a:p>
        </xdr:txBody>
      </xdr:sp>
    </xdr:grpSp>
    <xdr:clientData/>
  </xdr:twoCellAnchor>
  <xdr:twoCellAnchor>
    <xdr:from>
      <xdr:col>8</xdr:col>
      <xdr:colOff>755134</xdr:colOff>
      <xdr:row>6</xdr:row>
      <xdr:rowOff>51485</xdr:rowOff>
    </xdr:from>
    <xdr:to>
      <xdr:col>19</xdr:col>
      <xdr:colOff>34325</xdr:colOff>
      <xdr:row>12</xdr:row>
      <xdr:rowOff>17163</xdr:rowOff>
    </xdr:to>
    <xdr:grpSp>
      <xdr:nvGrpSpPr>
        <xdr:cNvPr id="21" name="Group 20">
          <a:extLst>
            <a:ext uri="{FF2B5EF4-FFF2-40B4-BE49-F238E27FC236}">
              <a16:creationId xmlns:a16="http://schemas.microsoft.com/office/drawing/2014/main" id="{4BAB7893-2430-D38D-A5F4-F8BAD75305ED}"/>
            </a:ext>
          </a:extLst>
        </xdr:cNvPr>
        <xdr:cNvGrpSpPr/>
      </xdr:nvGrpSpPr>
      <xdr:grpSpPr>
        <a:xfrm>
          <a:off x="7403035" y="1180374"/>
          <a:ext cx="8420055" cy="1094567"/>
          <a:chOff x="7345404" y="1184188"/>
          <a:chExt cx="8340813" cy="1098380"/>
        </a:xfrm>
        <a:gradFill flip="none" rotWithShape="1">
          <a:gsLst>
            <a:gs pos="0">
              <a:srgbClr val="B3D9ED">
                <a:shade val="30000"/>
                <a:satMod val="115000"/>
              </a:srgbClr>
            </a:gs>
            <a:gs pos="50000">
              <a:srgbClr val="B3D9ED">
                <a:shade val="67500"/>
                <a:satMod val="115000"/>
              </a:srgbClr>
            </a:gs>
            <a:gs pos="100000">
              <a:srgbClr val="B3D9ED">
                <a:shade val="100000"/>
                <a:satMod val="115000"/>
              </a:srgbClr>
            </a:gs>
          </a:gsLst>
          <a:lin ang="5400000" scaled="1"/>
          <a:tileRect/>
        </a:gradFill>
      </xdr:grpSpPr>
      <xdr:sp macro="" textlink="Sheet8!C4">
        <xdr:nvSpPr>
          <xdr:cNvPr id="8" name="Rounded Rectangle 7">
            <a:extLst>
              <a:ext uri="{FF2B5EF4-FFF2-40B4-BE49-F238E27FC236}">
                <a16:creationId xmlns:a16="http://schemas.microsoft.com/office/drawing/2014/main" id="{1585139B-6364-6C55-93E7-82AB25A59D04}"/>
              </a:ext>
            </a:extLst>
          </xdr:cNvPr>
          <xdr:cNvSpPr/>
        </xdr:nvSpPr>
        <xdr:spPr>
          <a:xfrm>
            <a:off x="12751486" y="1664730"/>
            <a:ext cx="2934730" cy="617838"/>
          </a:xfrm>
          <a:prstGeom prst="roundRect">
            <a:avLst>
              <a:gd name="adj" fmla="val 0"/>
            </a:avLst>
          </a:prstGeom>
          <a:grpFill/>
          <a:ln w="63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7C5F349-CAB4-6642-9855-B33BD2797136}" type="TxLink">
              <a:rPr lang="en-US" sz="3200" b="1" i="0" u="none" strike="noStrike">
                <a:solidFill>
                  <a:srgbClr val="000000"/>
                </a:solidFill>
                <a:latin typeface="Calibri"/>
                <a:cs typeface="Calibri"/>
              </a:rPr>
              <a:pPr algn="ctr"/>
              <a:t>500</a:t>
            </a:fld>
            <a:endParaRPr lang="en-GB" sz="3200" b="1">
              <a:latin typeface="+mj-lt"/>
            </a:endParaRPr>
          </a:p>
        </xdr:txBody>
      </xdr:sp>
      <xdr:grpSp>
        <xdr:nvGrpSpPr>
          <xdr:cNvPr id="20" name="Group 19">
            <a:extLst>
              <a:ext uri="{FF2B5EF4-FFF2-40B4-BE49-F238E27FC236}">
                <a16:creationId xmlns:a16="http://schemas.microsoft.com/office/drawing/2014/main" id="{CEA1B478-C592-FA9A-27F9-7B1866294253}"/>
              </a:ext>
            </a:extLst>
          </xdr:cNvPr>
          <xdr:cNvGrpSpPr/>
        </xdr:nvGrpSpPr>
        <xdr:grpSpPr>
          <a:xfrm>
            <a:off x="7345404" y="1184188"/>
            <a:ext cx="5337434" cy="1098380"/>
            <a:chOff x="7345404" y="1184188"/>
            <a:chExt cx="5337434" cy="1098380"/>
          </a:xfrm>
          <a:grpFill/>
        </xdr:grpSpPr>
        <xdr:sp macro="" textlink="Sheet8!B4">
          <xdr:nvSpPr>
            <xdr:cNvPr id="7" name="Rounded Rectangle 6">
              <a:extLst>
                <a:ext uri="{FF2B5EF4-FFF2-40B4-BE49-F238E27FC236}">
                  <a16:creationId xmlns:a16="http://schemas.microsoft.com/office/drawing/2014/main" id="{7E5636FA-0BCF-FA04-E097-0FD6DDAC862C}"/>
                </a:ext>
              </a:extLst>
            </xdr:cNvPr>
            <xdr:cNvSpPr/>
          </xdr:nvSpPr>
          <xdr:spPr>
            <a:xfrm>
              <a:off x="7345404" y="1647567"/>
              <a:ext cx="5337434" cy="635001"/>
            </a:xfrm>
            <a:prstGeom prst="roundRect">
              <a:avLst>
                <a:gd name="adj" fmla="val 0"/>
              </a:avLst>
            </a:prstGeom>
            <a:grpFill/>
            <a:ln w="63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BEA85F1-6866-7847-96E9-15A2714D6677}" type="TxLink">
                <a:rPr lang="en-US" sz="3200" b="1" i="0" u="none" strike="noStrike">
                  <a:solidFill>
                    <a:srgbClr val="000000"/>
                  </a:solidFill>
                  <a:latin typeface="Calibri"/>
                  <a:cs typeface="Calibri"/>
                </a:rPr>
                <a:pPr algn="ctr"/>
                <a:t>LKR99,944,097.84</a:t>
              </a:fld>
              <a:endParaRPr lang="en-GB" sz="3200" b="1">
                <a:latin typeface="+mj-lt"/>
              </a:endParaRPr>
            </a:p>
          </xdr:txBody>
        </xdr:sp>
        <xdr:sp macro="" textlink="Sheet8!B4">
          <xdr:nvSpPr>
            <xdr:cNvPr id="13" name="Rounded Rectangle 12">
              <a:extLst>
                <a:ext uri="{FF2B5EF4-FFF2-40B4-BE49-F238E27FC236}">
                  <a16:creationId xmlns:a16="http://schemas.microsoft.com/office/drawing/2014/main" id="{BE5BF9E9-8464-6947-A008-50E419DC920D}"/>
                </a:ext>
              </a:extLst>
            </xdr:cNvPr>
            <xdr:cNvSpPr/>
          </xdr:nvSpPr>
          <xdr:spPr>
            <a:xfrm>
              <a:off x="7345405" y="1184188"/>
              <a:ext cx="5337433" cy="463379"/>
            </a:xfrm>
            <a:prstGeom prst="roundRect">
              <a:avLst>
                <a:gd name="adj" fmla="val 0"/>
              </a:avLst>
            </a:prstGeom>
            <a:grpFill/>
            <a:ln w="63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chemeClr val="tx1"/>
                  </a:solidFill>
                  <a:latin typeface="+mj-lt"/>
                </a:rPr>
                <a:t>Total</a:t>
              </a:r>
              <a:r>
                <a:rPr lang="en-GB" sz="2800" b="1" baseline="0">
                  <a:solidFill>
                    <a:schemeClr val="tx1"/>
                  </a:solidFill>
                  <a:latin typeface="+mj-lt"/>
                </a:rPr>
                <a:t> Profit</a:t>
              </a:r>
              <a:endParaRPr lang="en-GB" sz="2800" b="1">
                <a:solidFill>
                  <a:schemeClr val="tx1"/>
                </a:solidFill>
                <a:latin typeface="+mj-lt"/>
              </a:endParaRPr>
            </a:p>
          </xdr:txBody>
        </xdr:sp>
      </xdr:grpSp>
      <xdr:sp macro="" textlink="Sheet8!C4">
        <xdr:nvSpPr>
          <xdr:cNvPr id="14" name="Rounded Rectangle 13">
            <a:extLst>
              <a:ext uri="{FF2B5EF4-FFF2-40B4-BE49-F238E27FC236}">
                <a16:creationId xmlns:a16="http://schemas.microsoft.com/office/drawing/2014/main" id="{CFDC3A24-529C-AE44-AF3E-FA1F39BDE2A0}"/>
              </a:ext>
            </a:extLst>
          </xdr:cNvPr>
          <xdr:cNvSpPr/>
        </xdr:nvSpPr>
        <xdr:spPr>
          <a:xfrm>
            <a:off x="12751487" y="1184190"/>
            <a:ext cx="2934730" cy="519026"/>
          </a:xfrm>
          <a:prstGeom prst="roundRect">
            <a:avLst>
              <a:gd name="adj" fmla="val 0"/>
            </a:avLst>
          </a:prstGeom>
          <a:grpFill/>
          <a:ln w="63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chemeClr val="tx1"/>
                </a:solidFill>
                <a:latin typeface="+mj-lt"/>
              </a:rPr>
              <a:t>Orders</a:t>
            </a:r>
          </a:p>
        </xdr:txBody>
      </xdr:sp>
    </xdr:grpSp>
    <xdr:clientData/>
  </xdr:twoCellAnchor>
  <xdr:twoCellAnchor editAs="oneCell">
    <xdr:from>
      <xdr:col>4</xdr:col>
      <xdr:colOff>156790</xdr:colOff>
      <xdr:row>6</xdr:row>
      <xdr:rowOff>141110</xdr:rowOff>
    </xdr:from>
    <xdr:to>
      <xdr:col>4</xdr:col>
      <xdr:colOff>595802</xdr:colOff>
      <xdr:row>9</xdr:row>
      <xdr:rowOff>15678</xdr:rowOff>
    </xdr:to>
    <xdr:pic>
      <xdr:nvPicPr>
        <xdr:cNvPr id="12" name="Picture 11">
          <a:extLst>
            <a:ext uri="{FF2B5EF4-FFF2-40B4-BE49-F238E27FC236}">
              <a16:creationId xmlns:a16="http://schemas.microsoft.com/office/drawing/2014/main" id="{F84453FA-2E7E-902F-A049-ED63F678659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480741" y="1269999"/>
          <a:ext cx="439012" cy="439012"/>
        </a:xfrm>
        <a:prstGeom prst="rect">
          <a:avLst/>
        </a:prstGeom>
      </xdr:spPr>
    </xdr:pic>
    <xdr:clientData/>
  </xdr:twoCellAnchor>
  <xdr:twoCellAnchor editAs="oneCell">
    <xdr:from>
      <xdr:col>10</xdr:col>
      <xdr:colOff>282221</xdr:colOff>
      <xdr:row>6</xdr:row>
      <xdr:rowOff>62716</xdr:rowOff>
    </xdr:from>
    <xdr:to>
      <xdr:col>10</xdr:col>
      <xdr:colOff>815307</xdr:colOff>
      <xdr:row>9</xdr:row>
      <xdr:rowOff>31358</xdr:rowOff>
    </xdr:to>
    <xdr:pic>
      <xdr:nvPicPr>
        <xdr:cNvPr id="25" name="Picture 24">
          <a:extLst>
            <a:ext uri="{FF2B5EF4-FFF2-40B4-BE49-F238E27FC236}">
              <a16:creationId xmlns:a16="http://schemas.microsoft.com/office/drawing/2014/main" id="{4522549C-7E89-51C1-33E3-8A3EDBC527D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592098" y="1191605"/>
          <a:ext cx="533086" cy="533086"/>
        </a:xfrm>
        <a:prstGeom prst="rect">
          <a:avLst/>
        </a:prstGeom>
      </xdr:spPr>
    </xdr:pic>
    <xdr:clientData/>
  </xdr:twoCellAnchor>
  <xdr:twoCellAnchor editAs="oneCell">
    <xdr:from>
      <xdr:col>16</xdr:col>
      <xdr:colOff>47038</xdr:colOff>
      <xdr:row>6</xdr:row>
      <xdr:rowOff>78394</xdr:rowOff>
    </xdr:from>
    <xdr:to>
      <xdr:col>16</xdr:col>
      <xdr:colOff>454693</xdr:colOff>
      <xdr:row>8</xdr:row>
      <xdr:rowOff>109753</xdr:rowOff>
    </xdr:to>
    <xdr:pic>
      <xdr:nvPicPr>
        <xdr:cNvPr id="27" name="Picture 26">
          <a:extLst>
            <a:ext uri="{FF2B5EF4-FFF2-40B4-BE49-F238E27FC236}">
              <a16:creationId xmlns:a16="http://schemas.microsoft.com/office/drawing/2014/main" id="{834D1421-61F5-6D50-F857-5589DDCD06E8}"/>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3342840" y="1207283"/>
          <a:ext cx="407655" cy="40765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naya Kumaralingam" refreshedDate="45981.705919444445" createdVersion="8" refreshedVersion="8" minRefreshableVersion="3" recordCount="500" xr:uid="{A848F390-C013-704C-9E85-51C5E6C5F001}">
  <cacheSource type="worksheet">
    <worksheetSource name="SalesData"/>
  </cacheSource>
  <cacheFields count="13">
    <cacheField name="OrderID" numFmtId="0">
      <sharedItems containsSemiMixedTypes="0" containsString="0" containsNumber="1" containsInteger="1" minValue="2000" maxValue="2499"/>
    </cacheField>
    <cacheField name="OrderDate" numFmtId="14">
      <sharedItems containsSemiMixedTypes="0" containsNonDate="0" containsDate="1" containsString="0" minDate="2023-01-01T00:00:00" maxDate="2024-05-15T00:00:00" count="5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sharedItems>
      <fieldGroup par="12"/>
    </cacheField>
    <cacheField name="Region" numFmtId="0">
      <sharedItems count="8">
        <s v="Galle"/>
        <s v="Jaffna"/>
        <s v="Batticaloa"/>
        <s v="Colombo"/>
        <s v="Gampaha"/>
        <s v="Kandy"/>
        <s v="Kurunegala"/>
        <s v="Matara"/>
      </sharedItems>
    </cacheField>
    <cacheField name="Category" numFmtId="0">
      <sharedItems count="4">
        <s v="Grocery"/>
        <s v="Clothing"/>
        <s v="Furniture"/>
        <s v="Electronics"/>
      </sharedItems>
    </cacheField>
    <cacheField name="SubCategory" numFmtId="0">
      <sharedItems count="13">
        <s v="Rice"/>
        <s v="Women"/>
        <s v="Snacks"/>
        <s v="Chair"/>
        <s v="Men"/>
        <s v="Spices"/>
        <s v="Table"/>
        <s v="Mobile"/>
        <s v="Sofa"/>
        <s v="Vegetables"/>
        <s v="Accessories"/>
        <s v="Laptop"/>
        <s v="Beverages"/>
      </sharedItems>
    </cacheField>
    <cacheField name="Segment" numFmtId="0">
      <sharedItems count="3">
        <s v="Home Office"/>
        <s v="Corporate"/>
        <s v="Consumer"/>
      </sharedItems>
    </cacheField>
    <cacheField name="Quantity" numFmtId="0">
      <sharedItems containsSemiMixedTypes="0" containsString="0" containsNumber="1" containsInteger="1" minValue="1" maxValue="40"/>
    </cacheField>
    <cacheField name="UnitPrice" numFmtId="0">
      <sharedItems containsSemiMixedTypes="0" containsString="0" containsNumber="1" containsInteger="1" minValue="150" maxValue="249848"/>
    </cacheField>
    <cacheField name="Discount" numFmtId="0">
      <sharedItems containsSemiMixedTypes="0" containsString="0" containsNumber="1" minValue="0" maxValue="0.1"/>
    </cacheField>
    <cacheField name="TotalSales" numFmtId="0">
      <sharedItems containsSemiMixedTypes="0" containsString="0" containsNumber="1" minValue="200" maxValue="7912310"/>
    </cacheField>
    <cacheField name="Profit" numFmtId="0">
      <sharedItems containsSemiMixedTypes="0" containsString="0" containsNumber="1" minValue="18.62" maxValue="1769043.98"/>
    </cacheField>
    <cacheField name="Months (OrderDate)" numFmtId="0" databaseField="0">
      <fieldGroup base="1">
        <rangePr groupBy="months" startDate="2023-01-01T00:00:00" endDate="2024-05-15T00:00:00"/>
        <groupItems count="14">
          <s v="&lt;2023-01-01"/>
          <s v="Jan"/>
          <s v="Feb"/>
          <s v="Mar"/>
          <s v="Apr"/>
          <s v="May"/>
          <s v="Jun"/>
          <s v="Jul"/>
          <s v="Aug"/>
          <s v="Sep"/>
          <s v="Oct"/>
          <s v="Nov"/>
          <s v="Dec"/>
          <s v="&gt;2024-05-15"/>
        </groupItems>
      </fieldGroup>
    </cacheField>
    <cacheField name="Years (OrderDate)" numFmtId="0" databaseField="0">
      <fieldGroup base="1">
        <rangePr groupBy="years" startDate="2023-01-01T00:00:00" endDate="2024-05-15T00:00:00"/>
        <groupItems count="4">
          <s v="&lt;2023-01-01"/>
          <s v="2023"/>
          <s v="2024"/>
          <s v="&gt;2024-05-15"/>
        </groupItems>
      </fieldGroup>
    </cacheField>
  </cacheFields>
  <extLst>
    <ext xmlns:x14="http://schemas.microsoft.com/office/spreadsheetml/2009/9/main" uri="{725AE2AE-9491-48be-B2B4-4EB974FC3084}">
      <x14:pivotCacheDefinition pivotCacheId="19444883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2000"/>
    <x v="0"/>
    <x v="0"/>
    <x v="0"/>
    <x v="0"/>
    <x v="0"/>
    <n v="40"/>
    <n v="727"/>
    <n v="0.05"/>
    <n v="27626"/>
    <n v="5363.75"/>
  </r>
  <r>
    <n v="2001"/>
    <x v="1"/>
    <x v="1"/>
    <x v="1"/>
    <x v="1"/>
    <x v="1"/>
    <n v="17"/>
    <n v="7400"/>
    <n v="0.1"/>
    <n v="113220"/>
    <n v="16352.39"/>
  </r>
  <r>
    <n v="2002"/>
    <x v="2"/>
    <x v="2"/>
    <x v="0"/>
    <x v="2"/>
    <x v="0"/>
    <n v="38"/>
    <n v="195"/>
    <n v="0.1"/>
    <n v="6669"/>
    <n v="767.76"/>
  </r>
  <r>
    <n v="2003"/>
    <x v="3"/>
    <x v="3"/>
    <x v="0"/>
    <x v="2"/>
    <x v="2"/>
    <n v="40"/>
    <n v="650"/>
    <n v="0.05"/>
    <n v="24700"/>
    <n v="2224.11"/>
  </r>
  <r>
    <n v="2004"/>
    <x v="4"/>
    <x v="4"/>
    <x v="2"/>
    <x v="3"/>
    <x v="0"/>
    <n v="6"/>
    <n v="96540"/>
    <n v="0"/>
    <n v="579240"/>
    <n v="131340.56"/>
  </r>
  <r>
    <n v="2005"/>
    <x v="5"/>
    <x v="5"/>
    <x v="1"/>
    <x v="4"/>
    <x v="2"/>
    <n v="22"/>
    <n v="6357"/>
    <n v="0"/>
    <n v="139854"/>
    <n v="13587.69"/>
  </r>
  <r>
    <n v="2006"/>
    <x v="6"/>
    <x v="4"/>
    <x v="1"/>
    <x v="1"/>
    <x v="0"/>
    <n v="36"/>
    <n v="4675"/>
    <n v="0.1"/>
    <n v="151470"/>
    <n v="21676.77"/>
  </r>
  <r>
    <n v="2007"/>
    <x v="7"/>
    <x v="6"/>
    <x v="0"/>
    <x v="5"/>
    <x v="2"/>
    <n v="17"/>
    <n v="645"/>
    <n v="0"/>
    <n v="10965"/>
    <n v="1345.98"/>
  </r>
  <r>
    <n v="2008"/>
    <x v="8"/>
    <x v="2"/>
    <x v="2"/>
    <x v="3"/>
    <x v="1"/>
    <n v="4"/>
    <n v="79172"/>
    <n v="0.05"/>
    <n v="300853.59999999998"/>
    <n v="35950.589999999997"/>
  </r>
  <r>
    <n v="2009"/>
    <x v="9"/>
    <x v="5"/>
    <x v="1"/>
    <x v="1"/>
    <x v="1"/>
    <n v="8"/>
    <n v="4950"/>
    <n v="0"/>
    <n v="39600"/>
    <n v="7033.02"/>
  </r>
  <r>
    <n v="2010"/>
    <x v="10"/>
    <x v="7"/>
    <x v="1"/>
    <x v="1"/>
    <x v="1"/>
    <n v="17"/>
    <n v="7722"/>
    <n v="0.05"/>
    <n v="124710.3"/>
    <n v="29848.21"/>
  </r>
  <r>
    <n v="2011"/>
    <x v="11"/>
    <x v="7"/>
    <x v="2"/>
    <x v="6"/>
    <x v="0"/>
    <n v="6"/>
    <n v="79680"/>
    <n v="0"/>
    <n v="478080"/>
    <n v="63458.55"/>
  </r>
  <r>
    <n v="2012"/>
    <x v="12"/>
    <x v="2"/>
    <x v="3"/>
    <x v="7"/>
    <x v="2"/>
    <n v="1"/>
    <n v="244114"/>
    <n v="0.1"/>
    <n v="219702.6"/>
    <n v="25369.71"/>
  </r>
  <r>
    <n v="2013"/>
    <x v="13"/>
    <x v="6"/>
    <x v="2"/>
    <x v="3"/>
    <x v="2"/>
    <n v="39"/>
    <n v="122816"/>
    <n v="0.05"/>
    <n v="4550332.8"/>
    <n v="448364.45"/>
  </r>
  <r>
    <n v="2014"/>
    <x v="14"/>
    <x v="1"/>
    <x v="2"/>
    <x v="8"/>
    <x v="1"/>
    <n v="7"/>
    <n v="21385"/>
    <n v="0.1"/>
    <n v="134725.5"/>
    <n v="28034.9"/>
  </r>
  <r>
    <n v="2015"/>
    <x v="15"/>
    <x v="6"/>
    <x v="0"/>
    <x v="9"/>
    <x v="2"/>
    <n v="34"/>
    <n v="762"/>
    <n v="0.1"/>
    <n v="23317.200000000001"/>
    <n v="4097.26"/>
  </r>
  <r>
    <n v="2016"/>
    <x v="16"/>
    <x v="0"/>
    <x v="2"/>
    <x v="3"/>
    <x v="0"/>
    <n v="10"/>
    <n v="48803"/>
    <n v="0"/>
    <n v="488030"/>
    <n v="61081.17"/>
  </r>
  <r>
    <n v="2017"/>
    <x v="17"/>
    <x v="2"/>
    <x v="3"/>
    <x v="10"/>
    <x v="0"/>
    <n v="30"/>
    <n v="130622"/>
    <n v="0"/>
    <n v="3918660"/>
    <n v="554845.41"/>
  </r>
  <r>
    <n v="2018"/>
    <x v="18"/>
    <x v="6"/>
    <x v="2"/>
    <x v="3"/>
    <x v="2"/>
    <n v="36"/>
    <n v="143436"/>
    <n v="0.1"/>
    <n v="4647326.4000000004"/>
    <n v="447819.53"/>
  </r>
  <r>
    <n v="2019"/>
    <x v="19"/>
    <x v="4"/>
    <x v="2"/>
    <x v="6"/>
    <x v="0"/>
    <n v="29"/>
    <n v="85134"/>
    <n v="0"/>
    <n v="2468886"/>
    <n v="481060.41"/>
  </r>
  <r>
    <n v="2020"/>
    <x v="20"/>
    <x v="5"/>
    <x v="1"/>
    <x v="1"/>
    <x v="1"/>
    <n v="34"/>
    <n v="5007"/>
    <n v="0"/>
    <n v="170238"/>
    <n v="19533.740000000002"/>
  </r>
  <r>
    <n v="2021"/>
    <x v="21"/>
    <x v="6"/>
    <x v="3"/>
    <x v="10"/>
    <x v="0"/>
    <n v="25"/>
    <n v="67698"/>
    <n v="0.05"/>
    <n v="1607827.5"/>
    <n v="398360.19"/>
  </r>
  <r>
    <n v="2022"/>
    <x v="22"/>
    <x v="5"/>
    <x v="2"/>
    <x v="3"/>
    <x v="2"/>
    <n v="17"/>
    <n v="98853"/>
    <n v="0.1"/>
    <n v="1512450.9"/>
    <n v="345227.64"/>
  </r>
  <r>
    <n v="2023"/>
    <x v="23"/>
    <x v="3"/>
    <x v="3"/>
    <x v="10"/>
    <x v="0"/>
    <n v="27"/>
    <n v="225793"/>
    <n v="0"/>
    <n v="6096411"/>
    <n v="720876.11"/>
  </r>
  <r>
    <n v="2024"/>
    <x v="24"/>
    <x v="2"/>
    <x v="3"/>
    <x v="10"/>
    <x v="0"/>
    <n v="29"/>
    <n v="180614"/>
    <n v="0"/>
    <n v="5237806"/>
    <n v="924124.18"/>
  </r>
  <r>
    <n v="2025"/>
    <x v="25"/>
    <x v="3"/>
    <x v="2"/>
    <x v="8"/>
    <x v="0"/>
    <n v="20"/>
    <n v="118728"/>
    <n v="0"/>
    <n v="2374560"/>
    <n v="298616.90000000002"/>
  </r>
  <r>
    <n v="2026"/>
    <x v="26"/>
    <x v="6"/>
    <x v="1"/>
    <x v="1"/>
    <x v="1"/>
    <n v="6"/>
    <n v="4781"/>
    <n v="0"/>
    <n v="28686"/>
    <n v="6335.57"/>
  </r>
  <r>
    <n v="2027"/>
    <x v="27"/>
    <x v="3"/>
    <x v="1"/>
    <x v="4"/>
    <x v="1"/>
    <n v="2"/>
    <n v="4392"/>
    <n v="0.1"/>
    <n v="7905.6"/>
    <n v="1251.25"/>
  </r>
  <r>
    <n v="2028"/>
    <x v="28"/>
    <x v="5"/>
    <x v="2"/>
    <x v="3"/>
    <x v="1"/>
    <n v="30"/>
    <n v="123356"/>
    <n v="0.05"/>
    <n v="3515646"/>
    <n v="670997.65"/>
  </r>
  <r>
    <n v="2029"/>
    <x v="29"/>
    <x v="2"/>
    <x v="1"/>
    <x v="1"/>
    <x v="1"/>
    <n v="16"/>
    <n v="6678"/>
    <n v="0.1"/>
    <n v="96163.199999999997"/>
    <n v="20010.599999999999"/>
  </r>
  <r>
    <n v="2030"/>
    <x v="30"/>
    <x v="5"/>
    <x v="0"/>
    <x v="2"/>
    <x v="1"/>
    <n v="34"/>
    <n v="257"/>
    <n v="0.05"/>
    <n v="8301.1"/>
    <n v="760.17"/>
  </r>
  <r>
    <n v="2031"/>
    <x v="31"/>
    <x v="2"/>
    <x v="0"/>
    <x v="2"/>
    <x v="1"/>
    <n v="34"/>
    <n v="784"/>
    <n v="0.05"/>
    <n v="25323.200000000001"/>
    <n v="3657.01"/>
  </r>
  <r>
    <n v="2032"/>
    <x v="32"/>
    <x v="6"/>
    <x v="2"/>
    <x v="6"/>
    <x v="0"/>
    <n v="37"/>
    <n v="145132"/>
    <n v="0"/>
    <n v="5369884"/>
    <n v="1295510.2"/>
  </r>
  <r>
    <n v="2033"/>
    <x v="33"/>
    <x v="3"/>
    <x v="3"/>
    <x v="7"/>
    <x v="0"/>
    <n v="31"/>
    <n v="139711"/>
    <n v="0.05"/>
    <n v="4114488.95"/>
    <n v="571296.35"/>
  </r>
  <r>
    <n v="2034"/>
    <x v="34"/>
    <x v="5"/>
    <x v="3"/>
    <x v="10"/>
    <x v="1"/>
    <n v="4"/>
    <n v="53518"/>
    <n v="0.1"/>
    <n v="192664.8"/>
    <n v="30288.33"/>
  </r>
  <r>
    <n v="2035"/>
    <x v="35"/>
    <x v="4"/>
    <x v="2"/>
    <x v="6"/>
    <x v="0"/>
    <n v="15"/>
    <n v="131832"/>
    <n v="0.05"/>
    <n v="1878606"/>
    <n v="417934.02"/>
  </r>
  <r>
    <n v="2036"/>
    <x v="36"/>
    <x v="6"/>
    <x v="1"/>
    <x v="1"/>
    <x v="1"/>
    <n v="13"/>
    <n v="7120"/>
    <n v="0"/>
    <n v="92560"/>
    <n v="16565.55"/>
  </r>
  <r>
    <n v="2037"/>
    <x v="37"/>
    <x v="2"/>
    <x v="2"/>
    <x v="3"/>
    <x v="1"/>
    <n v="5"/>
    <n v="118263"/>
    <n v="0.1"/>
    <n v="532183.5"/>
    <n v="80647.66"/>
  </r>
  <r>
    <n v="2038"/>
    <x v="38"/>
    <x v="0"/>
    <x v="2"/>
    <x v="6"/>
    <x v="2"/>
    <n v="23"/>
    <n v="78167"/>
    <n v="0.05"/>
    <n v="1707948.95"/>
    <n v="143884.48000000001"/>
  </r>
  <r>
    <n v="2039"/>
    <x v="39"/>
    <x v="4"/>
    <x v="1"/>
    <x v="4"/>
    <x v="0"/>
    <n v="14"/>
    <n v="6791"/>
    <n v="0.1"/>
    <n v="85566.6"/>
    <n v="20370.79"/>
  </r>
  <r>
    <n v="2040"/>
    <x v="40"/>
    <x v="5"/>
    <x v="2"/>
    <x v="3"/>
    <x v="1"/>
    <n v="5"/>
    <n v="93801"/>
    <n v="0"/>
    <n v="469005"/>
    <n v="114373.34"/>
  </r>
  <r>
    <n v="2041"/>
    <x v="41"/>
    <x v="2"/>
    <x v="2"/>
    <x v="6"/>
    <x v="2"/>
    <n v="30"/>
    <n v="156196"/>
    <n v="0.05"/>
    <n v="4451586"/>
    <n v="878468.77"/>
  </r>
  <r>
    <n v="2042"/>
    <x v="42"/>
    <x v="4"/>
    <x v="1"/>
    <x v="1"/>
    <x v="0"/>
    <n v="36"/>
    <n v="3379"/>
    <n v="0"/>
    <n v="121644"/>
    <n v="21532.79"/>
  </r>
  <r>
    <n v="2043"/>
    <x v="43"/>
    <x v="4"/>
    <x v="1"/>
    <x v="1"/>
    <x v="1"/>
    <n v="37"/>
    <n v="4602"/>
    <n v="0.05"/>
    <n v="161760.29999999999"/>
    <n v="37177.31"/>
  </r>
  <r>
    <n v="2044"/>
    <x v="44"/>
    <x v="2"/>
    <x v="1"/>
    <x v="4"/>
    <x v="1"/>
    <n v="15"/>
    <n v="6057"/>
    <n v="0.05"/>
    <n v="86312.25"/>
    <n v="10032.34"/>
  </r>
  <r>
    <n v="2045"/>
    <x v="45"/>
    <x v="6"/>
    <x v="3"/>
    <x v="11"/>
    <x v="2"/>
    <n v="8"/>
    <n v="179866"/>
    <n v="0.1"/>
    <n v="1295035.2"/>
    <n v="111905.28"/>
  </r>
  <r>
    <n v="2046"/>
    <x v="46"/>
    <x v="0"/>
    <x v="3"/>
    <x v="7"/>
    <x v="1"/>
    <n v="8"/>
    <n v="90845"/>
    <n v="0.05"/>
    <n v="690422"/>
    <n v="61602.94"/>
  </r>
  <r>
    <n v="2047"/>
    <x v="47"/>
    <x v="0"/>
    <x v="1"/>
    <x v="4"/>
    <x v="0"/>
    <n v="15"/>
    <n v="6762"/>
    <n v="0"/>
    <n v="101430"/>
    <n v="8371.0400000000009"/>
  </r>
  <r>
    <n v="2048"/>
    <x v="48"/>
    <x v="0"/>
    <x v="0"/>
    <x v="12"/>
    <x v="1"/>
    <n v="35"/>
    <n v="221"/>
    <n v="0"/>
    <n v="7735"/>
    <n v="1101.56"/>
  </r>
  <r>
    <n v="2049"/>
    <x v="49"/>
    <x v="0"/>
    <x v="1"/>
    <x v="1"/>
    <x v="2"/>
    <n v="10"/>
    <n v="5345"/>
    <n v="0.05"/>
    <n v="50777.5"/>
    <n v="7505.68"/>
  </r>
  <r>
    <n v="2050"/>
    <x v="50"/>
    <x v="5"/>
    <x v="3"/>
    <x v="7"/>
    <x v="2"/>
    <n v="11"/>
    <n v="83561"/>
    <n v="0.05"/>
    <n v="873212.45"/>
    <n v="185343.99"/>
  </r>
  <r>
    <n v="2051"/>
    <x v="51"/>
    <x v="7"/>
    <x v="1"/>
    <x v="4"/>
    <x v="0"/>
    <n v="22"/>
    <n v="4580"/>
    <n v="0.05"/>
    <n v="95722"/>
    <n v="18213.89"/>
  </r>
  <r>
    <n v="2052"/>
    <x v="52"/>
    <x v="3"/>
    <x v="2"/>
    <x v="3"/>
    <x v="2"/>
    <n v="20"/>
    <n v="84493"/>
    <n v="0"/>
    <n v="1689860"/>
    <n v="410813.62"/>
  </r>
  <r>
    <n v="2053"/>
    <x v="53"/>
    <x v="7"/>
    <x v="2"/>
    <x v="6"/>
    <x v="2"/>
    <n v="12"/>
    <n v="115378"/>
    <n v="0"/>
    <n v="1384536"/>
    <n v="210124.3"/>
  </r>
  <r>
    <n v="2054"/>
    <x v="54"/>
    <x v="3"/>
    <x v="3"/>
    <x v="10"/>
    <x v="0"/>
    <n v="4"/>
    <n v="127457"/>
    <n v="0"/>
    <n v="509828"/>
    <n v="89547.31"/>
  </r>
  <r>
    <n v="2055"/>
    <x v="55"/>
    <x v="2"/>
    <x v="2"/>
    <x v="8"/>
    <x v="1"/>
    <n v="38"/>
    <n v="101555"/>
    <n v="0.1"/>
    <n v="3473181"/>
    <n v="709437.84"/>
  </r>
  <r>
    <n v="2056"/>
    <x v="56"/>
    <x v="3"/>
    <x v="3"/>
    <x v="7"/>
    <x v="2"/>
    <n v="30"/>
    <n v="213015"/>
    <n v="0.05"/>
    <n v="6070927.5"/>
    <n v="645620.43999999994"/>
  </r>
  <r>
    <n v="2057"/>
    <x v="57"/>
    <x v="5"/>
    <x v="2"/>
    <x v="8"/>
    <x v="0"/>
    <n v="36"/>
    <n v="53645"/>
    <n v="0.05"/>
    <n v="1834659"/>
    <n v="293592.7"/>
  </r>
  <r>
    <n v="2058"/>
    <x v="58"/>
    <x v="5"/>
    <x v="0"/>
    <x v="2"/>
    <x v="2"/>
    <n v="9"/>
    <n v="193"/>
    <n v="0"/>
    <n v="1737"/>
    <n v="271.20999999999998"/>
  </r>
  <r>
    <n v="2059"/>
    <x v="59"/>
    <x v="2"/>
    <x v="0"/>
    <x v="2"/>
    <x v="2"/>
    <n v="34"/>
    <n v="611"/>
    <n v="0.1"/>
    <n v="18696.599999999999"/>
    <n v="3617.99"/>
  </r>
  <r>
    <n v="2060"/>
    <x v="60"/>
    <x v="0"/>
    <x v="2"/>
    <x v="3"/>
    <x v="2"/>
    <n v="36"/>
    <n v="158756"/>
    <n v="0.05"/>
    <n v="5429455.2000000002"/>
    <n v="437464.1"/>
  </r>
  <r>
    <n v="2061"/>
    <x v="61"/>
    <x v="2"/>
    <x v="3"/>
    <x v="7"/>
    <x v="1"/>
    <n v="12"/>
    <n v="78760"/>
    <n v="0.05"/>
    <n v="897864"/>
    <n v="201551.28"/>
  </r>
  <r>
    <n v="2062"/>
    <x v="62"/>
    <x v="4"/>
    <x v="2"/>
    <x v="6"/>
    <x v="2"/>
    <n v="38"/>
    <n v="17471"/>
    <n v="0.05"/>
    <n v="630703.1"/>
    <n v="124756.21"/>
  </r>
  <r>
    <n v="2063"/>
    <x v="63"/>
    <x v="6"/>
    <x v="0"/>
    <x v="9"/>
    <x v="1"/>
    <n v="1"/>
    <n v="200"/>
    <n v="0"/>
    <n v="200"/>
    <n v="48.96"/>
  </r>
  <r>
    <n v="2064"/>
    <x v="64"/>
    <x v="4"/>
    <x v="0"/>
    <x v="9"/>
    <x v="0"/>
    <n v="30"/>
    <n v="503"/>
    <n v="0.1"/>
    <n v="13581"/>
    <n v="2294.9699999999998"/>
  </r>
  <r>
    <n v="2065"/>
    <x v="65"/>
    <x v="4"/>
    <x v="2"/>
    <x v="8"/>
    <x v="2"/>
    <n v="30"/>
    <n v="80429"/>
    <n v="0.05"/>
    <n v="2292226.5"/>
    <n v="331801.44"/>
  </r>
  <r>
    <n v="2066"/>
    <x v="66"/>
    <x v="1"/>
    <x v="2"/>
    <x v="8"/>
    <x v="2"/>
    <n v="33"/>
    <n v="57595"/>
    <n v="0.05"/>
    <n v="1805603.25"/>
    <n v="205347.36"/>
  </r>
  <r>
    <n v="2067"/>
    <x v="67"/>
    <x v="6"/>
    <x v="2"/>
    <x v="6"/>
    <x v="1"/>
    <n v="17"/>
    <n v="38692"/>
    <n v="0.1"/>
    <n v="591987.6"/>
    <n v="93596.44"/>
  </r>
  <r>
    <n v="2068"/>
    <x v="68"/>
    <x v="7"/>
    <x v="2"/>
    <x v="6"/>
    <x v="1"/>
    <n v="9"/>
    <n v="49831"/>
    <n v="0.05"/>
    <n v="426055.05"/>
    <n v="71467.960000000006"/>
  </r>
  <r>
    <n v="2069"/>
    <x v="69"/>
    <x v="1"/>
    <x v="3"/>
    <x v="10"/>
    <x v="1"/>
    <n v="29"/>
    <n v="245940"/>
    <n v="0"/>
    <n v="7132260"/>
    <n v="851694.16"/>
  </r>
  <r>
    <n v="2070"/>
    <x v="70"/>
    <x v="4"/>
    <x v="0"/>
    <x v="9"/>
    <x v="1"/>
    <n v="13"/>
    <n v="669"/>
    <n v="0.05"/>
    <n v="8262.15"/>
    <n v="893.48"/>
  </r>
  <r>
    <n v="2071"/>
    <x v="71"/>
    <x v="0"/>
    <x v="0"/>
    <x v="2"/>
    <x v="0"/>
    <n v="30"/>
    <n v="541"/>
    <n v="0.1"/>
    <n v="14607"/>
    <n v="1841.13"/>
  </r>
  <r>
    <n v="2072"/>
    <x v="72"/>
    <x v="7"/>
    <x v="2"/>
    <x v="3"/>
    <x v="1"/>
    <n v="4"/>
    <n v="134510"/>
    <n v="0.05"/>
    <n v="511138"/>
    <n v="97601.55"/>
  </r>
  <r>
    <n v="2073"/>
    <x v="73"/>
    <x v="0"/>
    <x v="3"/>
    <x v="11"/>
    <x v="0"/>
    <n v="35"/>
    <n v="226066"/>
    <n v="0"/>
    <n v="7912310"/>
    <n v="1732981.31"/>
  </r>
  <r>
    <n v="2074"/>
    <x v="74"/>
    <x v="3"/>
    <x v="2"/>
    <x v="8"/>
    <x v="2"/>
    <n v="28"/>
    <n v="101587"/>
    <n v="0.1"/>
    <n v="2559992.4"/>
    <n v="564375.79"/>
  </r>
  <r>
    <n v="2075"/>
    <x v="75"/>
    <x v="5"/>
    <x v="1"/>
    <x v="4"/>
    <x v="2"/>
    <n v="12"/>
    <n v="4542"/>
    <n v="0.1"/>
    <n v="49053.599999999999"/>
    <n v="8803.1200000000008"/>
  </r>
  <r>
    <n v="2076"/>
    <x v="76"/>
    <x v="2"/>
    <x v="0"/>
    <x v="12"/>
    <x v="2"/>
    <n v="4"/>
    <n v="290"/>
    <n v="0"/>
    <n v="1160"/>
    <n v="99.65"/>
  </r>
  <r>
    <n v="2077"/>
    <x v="77"/>
    <x v="6"/>
    <x v="1"/>
    <x v="4"/>
    <x v="0"/>
    <n v="13"/>
    <n v="6775"/>
    <n v="0"/>
    <n v="88075"/>
    <n v="19596.099999999999"/>
  </r>
  <r>
    <n v="2078"/>
    <x v="78"/>
    <x v="6"/>
    <x v="1"/>
    <x v="1"/>
    <x v="2"/>
    <n v="40"/>
    <n v="3768"/>
    <n v="0"/>
    <n v="150720"/>
    <n v="36505.980000000003"/>
  </r>
  <r>
    <n v="2079"/>
    <x v="79"/>
    <x v="4"/>
    <x v="1"/>
    <x v="1"/>
    <x v="1"/>
    <n v="22"/>
    <n v="6369"/>
    <n v="0.05"/>
    <n v="133112.1"/>
    <n v="14999.44"/>
  </r>
  <r>
    <n v="2080"/>
    <x v="80"/>
    <x v="3"/>
    <x v="3"/>
    <x v="7"/>
    <x v="2"/>
    <n v="10"/>
    <n v="28420"/>
    <n v="0.1"/>
    <n v="255780"/>
    <n v="57059.45"/>
  </r>
  <r>
    <n v="2081"/>
    <x v="81"/>
    <x v="4"/>
    <x v="1"/>
    <x v="1"/>
    <x v="2"/>
    <n v="17"/>
    <n v="3057"/>
    <n v="0.1"/>
    <n v="46772.1"/>
    <n v="4641.84"/>
  </r>
  <r>
    <n v="2082"/>
    <x v="82"/>
    <x v="4"/>
    <x v="1"/>
    <x v="1"/>
    <x v="1"/>
    <n v="9"/>
    <n v="7193"/>
    <n v="0.05"/>
    <n v="61500.15"/>
    <n v="11086.81"/>
  </r>
  <r>
    <n v="2083"/>
    <x v="83"/>
    <x v="4"/>
    <x v="1"/>
    <x v="1"/>
    <x v="2"/>
    <n v="30"/>
    <n v="5860"/>
    <n v="0"/>
    <n v="175800"/>
    <n v="29565.67"/>
  </r>
  <r>
    <n v="2084"/>
    <x v="84"/>
    <x v="6"/>
    <x v="0"/>
    <x v="5"/>
    <x v="0"/>
    <n v="2"/>
    <n v="161"/>
    <n v="0.05"/>
    <n v="305.89999999999998"/>
    <n v="32.53"/>
  </r>
  <r>
    <n v="2085"/>
    <x v="85"/>
    <x v="1"/>
    <x v="2"/>
    <x v="8"/>
    <x v="0"/>
    <n v="8"/>
    <n v="129711"/>
    <n v="0.1"/>
    <n v="933919.2"/>
    <n v="218548.7"/>
  </r>
  <r>
    <n v="2086"/>
    <x v="86"/>
    <x v="5"/>
    <x v="0"/>
    <x v="2"/>
    <x v="1"/>
    <n v="4"/>
    <n v="739"/>
    <n v="0.1"/>
    <n v="2660.4"/>
    <n v="368.49"/>
  </r>
  <r>
    <n v="2087"/>
    <x v="87"/>
    <x v="7"/>
    <x v="3"/>
    <x v="11"/>
    <x v="2"/>
    <n v="24"/>
    <n v="53999"/>
    <n v="0.05"/>
    <n v="1231177.2"/>
    <n v="294472.94"/>
  </r>
  <r>
    <n v="2088"/>
    <x v="88"/>
    <x v="3"/>
    <x v="0"/>
    <x v="12"/>
    <x v="1"/>
    <n v="2"/>
    <n v="333"/>
    <n v="0"/>
    <n v="666"/>
    <n v="77.42"/>
  </r>
  <r>
    <n v="2089"/>
    <x v="89"/>
    <x v="4"/>
    <x v="1"/>
    <x v="4"/>
    <x v="0"/>
    <n v="7"/>
    <n v="7176"/>
    <n v="0"/>
    <n v="50232"/>
    <n v="10255.4"/>
  </r>
  <r>
    <n v="2090"/>
    <x v="90"/>
    <x v="2"/>
    <x v="3"/>
    <x v="10"/>
    <x v="2"/>
    <n v="23"/>
    <n v="74141"/>
    <n v="0.1"/>
    <n v="1534718.7"/>
    <n v="180498.71"/>
  </r>
  <r>
    <n v="2091"/>
    <x v="91"/>
    <x v="6"/>
    <x v="0"/>
    <x v="9"/>
    <x v="1"/>
    <n v="14"/>
    <n v="679"/>
    <n v="0.1"/>
    <n v="8555.4"/>
    <n v="1063.42"/>
  </r>
  <r>
    <n v="2092"/>
    <x v="92"/>
    <x v="3"/>
    <x v="2"/>
    <x v="8"/>
    <x v="1"/>
    <n v="32"/>
    <n v="34178"/>
    <n v="0.1"/>
    <n v="984326.4"/>
    <n v="84861.82"/>
  </r>
  <r>
    <n v="2093"/>
    <x v="93"/>
    <x v="7"/>
    <x v="2"/>
    <x v="6"/>
    <x v="1"/>
    <n v="27"/>
    <n v="65037"/>
    <n v="0"/>
    <n v="1755999"/>
    <n v="380293.55"/>
  </r>
  <r>
    <n v="2094"/>
    <x v="94"/>
    <x v="6"/>
    <x v="1"/>
    <x v="1"/>
    <x v="2"/>
    <n v="31"/>
    <n v="6757"/>
    <n v="0.05"/>
    <n v="198993.65"/>
    <n v="47671.07"/>
  </r>
  <r>
    <n v="2095"/>
    <x v="95"/>
    <x v="6"/>
    <x v="1"/>
    <x v="4"/>
    <x v="0"/>
    <n v="19"/>
    <n v="7007"/>
    <n v="0"/>
    <n v="133133"/>
    <n v="17045.759999999998"/>
  </r>
  <r>
    <n v="2096"/>
    <x v="96"/>
    <x v="5"/>
    <x v="3"/>
    <x v="10"/>
    <x v="0"/>
    <n v="34"/>
    <n v="164129"/>
    <n v="0"/>
    <n v="5580386"/>
    <n v="591074.56000000006"/>
  </r>
  <r>
    <n v="2097"/>
    <x v="97"/>
    <x v="1"/>
    <x v="2"/>
    <x v="8"/>
    <x v="1"/>
    <n v="10"/>
    <n v="84422"/>
    <n v="0.05"/>
    <n v="802009"/>
    <n v="173165.79"/>
  </r>
  <r>
    <n v="2098"/>
    <x v="98"/>
    <x v="4"/>
    <x v="2"/>
    <x v="6"/>
    <x v="1"/>
    <n v="30"/>
    <n v="154135"/>
    <n v="0.1"/>
    <n v="4161645"/>
    <n v="536608.74"/>
  </r>
  <r>
    <n v="2099"/>
    <x v="99"/>
    <x v="2"/>
    <x v="0"/>
    <x v="5"/>
    <x v="1"/>
    <n v="15"/>
    <n v="340"/>
    <n v="0.1"/>
    <n v="4590"/>
    <n v="1093.3800000000001"/>
  </r>
  <r>
    <n v="2100"/>
    <x v="100"/>
    <x v="0"/>
    <x v="0"/>
    <x v="9"/>
    <x v="2"/>
    <n v="12"/>
    <n v="213"/>
    <n v="0.1"/>
    <n v="2300.4"/>
    <n v="229.75"/>
  </r>
  <r>
    <n v="2101"/>
    <x v="101"/>
    <x v="2"/>
    <x v="0"/>
    <x v="12"/>
    <x v="2"/>
    <n v="2"/>
    <n v="647"/>
    <n v="0.1"/>
    <n v="1164.5999999999999"/>
    <n v="281.83"/>
  </r>
  <r>
    <n v="2102"/>
    <x v="102"/>
    <x v="7"/>
    <x v="0"/>
    <x v="12"/>
    <x v="1"/>
    <n v="18"/>
    <n v="410"/>
    <n v="0"/>
    <n v="7380"/>
    <n v="1840.53"/>
  </r>
  <r>
    <n v="2103"/>
    <x v="103"/>
    <x v="3"/>
    <x v="2"/>
    <x v="3"/>
    <x v="2"/>
    <n v="12"/>
    <n v="138371"/>
    <n v="0.1"/>
    <n v="1494406.8"/>
    <n v="348209.39"/>
  </r>
  <r>
    <n v="2104"/>
    <x v="104"/>
    <x v="6"/>
    <x v="0"/>
    <x v="9"/>
    <x v="0"/>
    <n v="18"/>
    <n v="513"/>
    <n v="0.05"/>
    <n v="8772.2999999999993"/>
    <n v="1632.72"/>
  </r>
  <r>
    <n v="2105"/>
    <x v="105"/>
    <x v="3"/>
    <x v="2"/>
    <x v="8"/>
    <x v="1"/>
    <n v="12"/>
    <n v="131114"/>
    <n v="0.1"/>
    <n v="1416031.2"/>
    <n v="330785.3"/>
  </r>
  <r>
    <n v="2106"/>
    <x v="106"/>
    <x v="0"/>
    <x v="1"/>
    <x v="4"/>
    <x v="1"/>
    <n v="36"/>
    <n v="4952"/>
    <n v="0.1"/>
    <n v="160444.79999999999"/>
    <n v="29093.83"/>
  </r>
  <r>
    <n v="2107"/>
    <x v="107"/>
    <x v="5"/>
    <x v="1"/>
    <x v="1"/>
    <x v="1"/>
    <n v="13"/>
    <n v="4998"/>
    <n v="0.05"/>
    <n v="61725.3"/>
    <n v="13085.86"/>
  </r>
  <r>
    <n v="2108"/>
    <x v="108"/>
    <x v="7"/>
    <x v="3"/>
    <x v="7"/>
    <x v="1"/>
    <n v="13"/>
    <n v="148257"/>
    <n v="0.05"/>
    <n v="1830973.95"/>
    <n v="430466.27"/>
  </r>
  <r>
    <n v="2109"/>
    <x v="109"/>
    <x v="2"/>
    <x v="0"/>
    <x v="12"/>
    <x v="2"/>
    <n v="36"/>
    <n v="384"/>
    <n v="0.05"/>
    <n v="13132.8"/>
    <n v="3013.68"/>
  </r>
  <r>
    <n v="2110"/>
    <x v="110"/>
    <x v="2"/>
    <x v="3"/>
    <x v="11"/>
    <x v="0"/>
    <n v="1"/>
    <n v="169245"/>
    <n v="0"/>
    <n v="169245"/>
    <n v="40142.089999999997"/>
  </r>
  <r>
    <n v="2111"/>
    <x v="111"/>
    <x v="4"/>
    <x v="0"/>
    <x v="12"/>
    <x v="1"/>
    <n v="13"/>
    <n v="795"/>
    <n v="0.1"/>
    <n v="9301.5"/>
    <n v="2175.0700000000002"/>
  </r>
  <r>
    <n v="2112"/>
    <x v="112"/>
    <x v="4"/>
    <x v="3"/>
    <x v="11"/>
    <x v="1"/>
    <n v="21"/>
    <n v="230977"/>
    <n v="0"/>
    <n v="4850517"/>
    <n v="706051.76"/>
  </r>
  <r>
    <n v="2113"/>
    <x v="113"/>
    <x v="0"/>
    <x v="1"/>
    <x v="4"/>
    <x v="2"/>
    <n v="28"/>
    <n v="6421"/>
    <n v="0.05"/>
    <n v="170798.6"/>
    <n v="17275.330000000002"/>
  </r>
  <r>
    <n v="2114"/>
    <x v="114"/>
    <x v="4"/>
    <x v="2"/>
    <x v="6"/>
    <x v="2"/>
    <n v="9"/>
    <n v="108442"/>
    <n v="0.05"/>
    <n v="927179.1"/>
    <n v="203839.51"/>
  </r>
  <r>
    <n v="2115"/>
    <x v="115"/>
    <x v="5"/>
    <x v="2"/>
    <x v="6"/>
    <x v="2"/>
    <n v="37"/>
    <n v="66855"/>
    <n v="0.1"/>
    <n v="2226271.5"/>
    <n v="484382.04"/>
  </r>
  <r>
    <n v="2116"/>
    <x v="116"/>
    <x v="0"/>
    <x v="2"/>
    <x v="3"/>
    <x v="1"/>
    <n v="4"/>
    <n v="65994"/>
    <n v="0"/>
    <n v="263976"/>
    <n v="23471.7"/>
  </r>
  <r>
    <n v="2117"/>
    <x v="117"/>
    <x v="0"/>
    <x v="1"/>
    <x v="1"/>
    <x v="1"/>
    <n v="27"/>
    <n v="7655"/>
    <n v="0"/>
    <n v="206685"/>
    <n v="33433.089999999997"/>
  </r>
  <r>
    <n v="2118"/>
    <x v="118"/>
    <x v="7"/>
    <x v="2"/>
    <x v="8"/>
    <x v="2"/>
    <n v="26"/>
    <n v="154499"/>
    <n v="0.05"/>
    <n v="3816125.3"/>
    <n v="887188.89"/>
  </r>
  <r>
    <n v="2119"/>
    <x v="119"/>
    <x v="0"/>
    <x v="1"/>
    <x v="1"/>
    <x v="0"/>
    <n v="33"/>
    <n v="4638"/>
    <n v="0.05"/>
    <n v="145401.29999999999"/>
    <n v="30036.92"/>
  </r>
  <r>
    <n v="2120"/>
    <x v="120"/>
    <x v="0"/>
    <x v="3"/>
    <x v="7"/>
    <x v="2"/>
    <n v="26"/>
    <n v="182062"/>
    <n v="0.05"/>
    <n v="4496931.4000000004"/>
    <n v="594369.02"/>
  </r>
  <r>
    <n v="2121"/>
    <x v="121"/>
    <x v="0"/>
    <x v="2"/>
    <x v="6"/>
    <x v="1"/>
    <n v="15"/>
    <n v="59399"/>
    <n v="0.1"/>
    <n v="801886.5"/>
    <n v="88851.04"/>
  </r>
  <r>
    <n v="2122"/>
    <x v="122"/>
    <x v="0"/>
    <x v="0"/>
    <x v="2"/>
    <x v="1"/>
    <n v="18"/>
    <n v="197"/>
    <n v="0.1"/>
    <n v="3191.4"/>
    <n v="268.54000000000002"/>
  </r>
  <r>
    <n v="2123"/>
    <x v="123"/>
    <x v="5"/>
    <x v="2"/>
    <x v="6"/>
    <x v="2"/>
    <n v="32"/>
    <n v="82094"/>
    <n v="0.1"/>
    <n v="2364307.2000000002"/>
    <n v="336787.87"/>
  </r>
  <r>
    <n v="2124"/>
    <x v="124"/>
    <x v="3"/>
    <x v="2"/>
    <x v="3"/>
    <x v="0"/>
    <n v="22"/>
    <n v="32781"/>
    <n v="0"/>
    <n v="721182"/>
    <n v="111856.11"/>
  </r>
  <r>
    <n v="2125"/>
    <x v="125"/>
    <x v="7"/>
    <x v="1"/>
    <x v="1"/>
    <x v="2"/>
    <n v="34"/>
    <n v="3638"/>
    <n v="0.05"/>
    <n v="117507.4"/>
    <n v="20038.810000000001"/>
  </r>
  <r>
    <n v="2126"/>
    <x v="126"/>
    <x v="0"/>
    <x v="1"/>
    <x v="4"/>
    <x v="0"/>
    <n v="7"/>
    <n v="6545"/>
    <n v="0"/>
    <n v="45815"/>
    <n v="9764.9599999999991"/>
  </r>
  <r>
    <n v="2127"/>
    <x v="127"/>
    <x v="2"/>
    <x v="3"/>
    <x v="7"/>
    <x v="0"/>
    <n v="1"/>
    <n v="53708"/>
    <n v="0"/>
    <n v="53708"/>
    <n v="5303.73"/>
  </r>
  <r>
    <n v="2128"/>
    <x v="128"/>
    <x v="0"/>
    <x v="3"/>
    <x v="11"/>
    <x v="2"/>
    <n v="24"/>
    <n v="166649"/>
    <n v="0"/>
    <n v="3999576"/>
    <n v="589290.28"/>
  </r>
  <r>
    <n v="2129"/>
    <x v="129"/>
    <x v="6"/>
    <x v="0"/>
    <x v="12"/>
    <x v="1"/>
    <n v="31"/>
    <n v="398"/>
    <n v="0.05"/>
    <n v="11721.1"/>
    <n v="2135.5100000000002"/>
  </r>
  <r>
    <n v="2130"/>
    <x v="130"/>
    <x v="0"/>
    <x v="3"/>
    <x v="10"/>
    <x v="1"/>
    <n v="5"/>
    <n v="91380"/>
    <n v="0"/>
    <n v="456900"/>
    <n v="44308.38"/>
  </r>
  <r>
    <n v="2131"/>
    <x v="131"/>
    <x v="5"/>
    <x v="2"/>
    <x v="8"/>
    <x v="0"/>
    <n v="21"/>
    <n v="59035"/>
    <n v="0"/>
    <n v="1239735"/>
    <n v="191609.84"/>
  </r>
  <r>
    <n v="2132"/>
    <x v="132"/>
    <x v="3"/>
    <x v="3"/>
    <x v="7"/>
    <x v="1"/>
    <n v="10"/>
    <n v="208100"/>
    <n v="0.05"/>
    <n v="1976950"/>
    <n v="204812.37"/>
  </r>
  <r>
    <n v="2133"/>
    <x v="133"/>
    <x v="3"/>
    <x v="2"/>
    <x v="8"/>
    <x v="1"/>
    <n v="2"/>
    <n v="63432"/>
    <n v="0.1"/>
    <n v="114177.60000000001"/>
    <n v="25802.09"/>
  </r>
  <r>
    <n v="2134"/>
    <x v="134"/>
    <x v="6"/>
    <x v="1"/>
    <x v="1"/>
    <x v="2"/>
    <n v="3"/>
    <n v="7755"/>
    <n v="0"/>
    <n v="23265"/>
    <n v="2168.38"/>
  </r>
  <r>
    <n v="2135"/>
    <x v="135"/>
    <x v="7"/>
    <x v="3"/>
    <x v="11"/>
    <x v="2"/>
    <n v="3"/>
    <n v="190588"/>
    <n v="0.1"/>
    <n v="514587.6"/>
    <n v="77033.539999999994"/>
  </r>
  <r>
    <n v="2136"/>
    <x v="136"/>
    <x v="4"/>
    <x v="0"/>
    <x v="0"/>
    <x v="2"/>
    <n v="22"/>
    <n v="287"/>
    <n v="0"/>
    <n v="6314"/>
    <n v="715.17"/>
  </r>
  <r>
    <n v="2137"/>
    <x v="137"/>
    <x v="0"/>
    <x v="3"/>
    <x v="7"/>
    <x v="2"/>
    <n v="29"/>
    <n v="183476"/>
    <n v="0"/>
    <n v="5320804"/>
    <n v="822112.37"/>
  </r>
  <r>
    <n v="2138"/>
    <x v="138"/>
    <x v="4"/>
    <x v="0"/>
    <x v="12"/>
    <x v="2"/>
    <n v="16"/>
    <n v="259"/>
    <n v="0.1"/>
    <n v="3729.6"/>
    <n v="895.17"/>
  </r>
  <r>
    <n v="2139"/>
    <x v="139"/>
    <x v="2"/>
    <x v="1"/>
    <x v="1"/>
    <x v="0"/>
    <n v="32"/>
    <n v="6854"/>
    <n v="0.05"/>
    <n v="208361.60000000001"/>
    <n v="35056.78"/>
  </r>
  <r>
    <n v="2140"/>
    <x v="140"/>
    <x v="0"/>
    <x v="2"/>
    <x v="6"/>
    <x v="2"/>
    <n v="37"/>
    <n v="39874"/>
    <n v="0"/>
    <n v="1475338"/>
    <n v="242628.21"/>
  </r>
  <r>
    <n v="2141"/>
    <x v="141"/>
    <x v="7"/>
    <x v="0"/>
    <x v="5"/>
    <x v="0"/>
    <n v="2"/>
    <n v="389"/>
    <n v="0.05"/>
    <n v="739.1"/>
    <n v="116.73"/>
  </r>
  <r>
    <n v="2142"/>
    <x v="142"/>
    <x v="0"/>
    <x v="1"/>
    <x v="1"/>
    <x v="0"/>
    <n v="37"/>
    <n v="7001"/>
    <n v="0.1"/>
    <n v="233133.3"/>
    <n v="31313.4"/>
  </r>
  <r>
    <n v="2143"/>
    <x v="143"/>
    <x v="5"/>
    <x v="1"/>
    <x v="1"/>
    <x v="0"/>
    <n v="13"/>
    <n v="6722"/>
    <n v="0"/>
    <n v="87386"/>
    <n v="7362.06"/>
  </r>
  <r>
    <n v="2144"/>
    <x v="144"/>
    <x v="3"/>
    <x v="0"/>
    <x v="0"/>
    <x v="1"/>
    <n v="13"/>
    <n v="682"/>
    <n v="0.1"/>
    <n v="7979.4"/>
    <n v="1203.94"/>
  </r>
  <r>
    <n v="2145"/>
    <x v="145"/>
    <x v="6"/>
    <x v="0"/>
    <x v="12"/>
    <x v="0"/>
    <n v="16"/>
    <n v="237"/>
    <n v="0.1"/>
    <n v="3412.8"/>
    <n v="706.14"/>
  </r>
  <r>
    <n v="2146"/>
    <x v="146"/>
    <x v="1"/>
    <x v="3"/>
    <x v="11"/>
    <x v="1"/>
    <n v="9"/>
    <n v="127564"/>
    <n v="0"/>
    <n v="1148076"/>
    <n v="253211.17"/>
  </r>
  <r>
    <n v="2147"/>
    <x v="147"/>
    <x v="2"/>
    <x v="2"/>
    <x v="3"/>
    <x v="0"/>
    <n v="8"/>
    <n v="96650"/>
    <n v="0.05"/>
    <n v="734540"/>
    <n v="137880.51"/>
  </r>
  <r>
    <n v="2148"/>
    <x v="148"/>
    <x v="7"/>
    <x v="3"/>
    <x v="7"/>
    <x v="0"/>
    <n v="18"/>
    <n v="120594"/>
    <n v="0"/>
    <n v="2170692"/>
    <n v="430919.58"/>
  </r>
  <r>
    <n v="2149"/>
    <x v="149"/>
    <x v="7"/>
    <x v="2"/>
    <x v="3"/>
    <x v="1"/>
    <n v="13"/>
    <n v="51330"/>
    <n v="0.05"/>
    <n v="633925.5"/>
    <n v="93185.99"/>
  </r>
  <r>
    <n v="2150"/>
    <x v="150"/>
    <x v="5"/>
    <x v="1"/>
    <x v="4"/>
    <x v="2"/>
    <n v="13"/>
    <n v="6816"/>
    <n v="0"/>
    <n v="88608"/>
    <n v="14326.74"/>
  </r>
  <r>
    <n v="2151"/>
    <x v="151"/>
    <x v="7"/>
    <x v="1"/>
    <x v="4"/>
    <x v="1"/>
    <n v="24"/>
    <n v="3767"/>
    <n v="0.05"/>
    <n v="85887.6"/>
    <n v="21119.29"/>
  </r>
  <r>
    <n v="2152"/>
    <x v="152"/>
    <x v="6"/>
    <x v="3"/>
    <x v="11"/>
    <x v="2"/>
    <n v="24"/>
    <n v="50644"/>
    <n v="0.1"/>
    <n v="1093910.3999999999"/>
    <n v="217232.72"/>
  </r>
  <r>
    <n v="2153"/>
    <x v="153"/>
    <x v="3"/>
    <x v="3"/>
    <x v="7"/>
    <x v="2"/>
    <n v="31"/>
    <n v="159124"/>
    <n v="0"/>
    <n v="4932844"/>
    <n v="714898.97"/>
  </r>
  <r>
    <n v="2154"/>
    <x v="154"/>
    <x v="5"/>
    <x v="1"/>
    <x v="4"/>
    <x v="1"/>
    <n v="31"/>
    <n v="4736"/>
    <n v="0"/>
    <n v="146816"/>
    <n v="28997.5"/>
  </r>
  <r>
    <n v="2155"/>
    <x v="155"/>
    <x v="2"/>
    <x v="3"/>
    <x v="11"/>
    <x v="1"/>
    <n v="36"/>
    <n v="57952"/>
    <n v="0"/>
    <n v="2086272"/>
    <n v="472666.51"/>
  </r>
  <r>
    <n v="2156"/>
    <x v="156"/>
    <x v="2"/>
    <x v="3"/>
    <x v="11"/>
    <x v="2"/>
    <n v="35"/>
    <n v="238253"/>
    <n v="0.1"/>
    <n v="7504969.5"/>
    <n v="1377241.32"/>
  </r>
  <r>
    <n v="2157"/>
    <x v="157"/>
    <x v="2"/>
    <x v="1"/>
    <x v="4"/>
    <x v="1"/>
    <n v="19"/>
    <n v="7533"/>
    <n v="0.05"/>
    <n v="135970.65"/>
    <n v="13051.29"/>
  </r>
  <r>
    <n v="2158"/>
    <x v="158"/>
    <x v="3"/>
    <x v="1"/>
    <x v="4"/>
    <x v="2"/>
    <n v="1"/>
    <n v="4243"/>
    <n v="0.1"/>
    <n v="3818.7"/>
    <n v="700.12"/>
  </r>
  <r>
    <n v="2159"/>
    <x v="159"/>
    <x v="5"/>
    <x v="3"/>
    <x v="7"/>
    <x v="0"/>
    <n v="22"/>
    <n v="71568"/>
    <n v="0.05"/>
    <n v="1495771.2"/>
    <n v="170775.38"/>
  </r>
  <r>
    <n v="2160"/>
    <x v="160"/>
    <x v="0"/>
    <x v="1"/>
    <x v="1"/>
    <x v="2"/>
    <n v="15"/>
    <n v="5385"/>
    <n v="0"/>
    <n v="80775"/>
    <n v="15341.77"/>
  </r>
  <r>
    <n v="2161"/>
    <x v="161"/>
    <x v="3"/>
    <x v="0"/>
    <x v="2"/>
    <x v="0"/>
    <n v="25"/>
    <n v="592"/>
    <n v="0.1"/>
    <n v="13320"/>
    <n v="3071.44"/>
  </r>
  <r>
    <n v="2162"/>
    <x v="162"/>
    <x v="3"/>
    <x v="2"/>
    <x v="6"/>
    <x v="0"/>
    <n v="24"/>
    <n v="61578"/>
    <n v="0.05"/>
    <n v="1403978.4"/>
    <n v="180703.34"/>
  </r>
  <r>
    <n v="2163"/>
    <x v="163"/>
    <x v="2"/>
    <x v="0"/>
    <x v="5"/>
    <x v="1"/>
    <n v="38"/>
    <n v="698"/>
    <n v="0.05"/>
    <n v="25197.8"/>
    <n v="4783.6000000000004"/>
  </r>
  <r>
    <n v="2164"/>
    <x v="164"/>
    <x v="3"/>
    <x v="3"/>
    <x v="11"/>
    <x v="1"/>
    <n v="7"/>
    <n v="31984"/>
    <n v="0.05"/>
    <n v="212693.6"/>
    <n v="33281.769999999997"/>
  </r>
  <r>
    <n v="2165"/>
    <x v="165"/>
    <x v="0"/>
    <x v="1"/>
    <x v="4"/>
    <x v="2"/>
    <n v="39"/>
    <n v="4817"/>
    <n v="0.05"/>
    <n v="178469.85"/>
    <n v="23416.959999999999"/>
  </r>
  <r>
    <n v="2166"/>
    <x v="166"/>
    <x v="5"/>
    <x v="3"/>
    <x v="11"/>
    <x v="2"/>
    <n v="28"/>
    <n v="140373"/>
    <n v="0"/>
    <n v="3930444"/>
    <n v="579989.78"/>
  </r>
  <r>
    <n v="2167"/>
    <x v="167"/>
    <x v="1"/>
    <x v="1"/>
    <x v="1"/>
    <x v="2"/>
    <n v="26"/>
    <n v="6454"/>
    <n v="0.05"/>
    <n v="159413.79999999999"/>
    <n v="19921.650000000001"/>
  </r>
  <r>
    <n v="2168"/>
    <x v="168"/>
    <x v="2"/>
    <x v="3"/>
    <x v="11"/>
    <x v="2"/>
    <n v="16"/>
    <n v="108996"/>
    <n v="0.05"/>
    <n v="1656739.2"/>
    <n v="383995.21"/>
  </r>
  <r>
    <n v="2169"/>
    <x v="169"/>
    <x v="2"/>
    <x v="0"/>
    <x v="2"/>
    <x v="0"/>
    <n v="38"/>
    <n v="350"/>
    <n v="0.05"/>
    <n v="12635"/>
    <n v="1737.75"/>
  </r>
  <r>
    <n v="2170"/>
    <x v="170"/>
    <x v="3"/>
    <x v="2"/>
    <x v="8"/>
    <x v="2"/>
    <n v="22"/>
    <n v="89632"/>
    <n v="0.05"/>
    <n v="1873308.8"/>
    <n v="349295.94"/>
  </r>
  <r>
    <n v="2171"/>
    <x v="171"/>
    <x v="4"/>
    <x v="1"/>
    <x v="4"/>
    <x v="0"/>
    <n v="30"/>
    <n v="6324"/>
    <n v="0.05"/>
    <n v="180234"/>
    <n v="22804.18"/>
  </r>
  <r>
    <n v="2172"/>
    <x v="172"/>
    <x v="6"/>
    <x v="3"/>
    <x v="10"/>
    <x v="0"/>
    <n v="19"/>
    <n v="197613"/>
    <n v="0"/>
    <n v="3754647"/>
    <n v="862421.67"/>
  </r>
  <r>
    <n v="2173"/>
    <x v="173"/>
    <x v="0"/>
    <x v="2"/>
    <x v="8"/>
    <x v="0"/>
    <n v="40"/>
    <n v="118481"/>
    <n v="0.05"/>
    <n v="4502278"/>
    <n v="485585.23"/>
  </r>
  <r>
    <n v="2174"/>
    <x v="174"/>
    <x v="1"/>
    <x v="1"/>
    <x v="1"/>
    <x v="2"/>
    <n v="32"/>
    <n v="6792"/>
    <n v="0.1"/>
    <n v="195609.60000000001"/>
    <n v="47096.160000000003"/>
  </r>
  <r>
    <n v="2175"/>
    <x v="175"/>
    <x v="2"/>
    <x v="2"/>
    <x v="3"/>
    <x v="2"/>
    <n v="6"/>
    <n v="16154"/>
    <n v="0.05"/>
    <n v="92077.8"/>
    <n v="11711.53"/>
  </r>
  <r>
    <n v="2176"/>
    <x v="176"/>
    <x v="5"/>
    <x v="3"/>
    <x v="10"/>
    <x v="1"/>
    <n v="13"/>
    <n v="222111"/>
    <n v="0.05"/>
    <n v="2743070.85"/>
    <n v="438650.74"/>
  </r>
  <r>
    <n v="2177"/>
    <x v="177"/>
    <x v="4"/>
    <x v="3"/>
    <x v="7"/>
    <x v="0"/>
    <n v="31"/>
    <n v="25517"/>
    <n v="0.05"/>
    <n v="751475.65"/>
    <n v="73454.33"/>
  </r>
  <r>
    <n v="2178"/>
    <x v="178"/>
    <x v="7"/>
    <x v="1"/>
    <x v="4"/>
    <x v="0"/>
    <n v="30"/>
    <n v="6147"/>
    <n v="0"/>
    <n v="184410"/>
    <n v="26903.91"/>
  </r>
  <r>
    <n v="2179"/>
    <x v="179"/>
    <x v="1"/>
    <x v="3"/>
    <x v="10"/>
    <x v="0"/>
    <n v="4"/>
    <n v="144910"/>
    <n v="0.05"/>
    <n v="550658"/>
    <n v="82438.22"/>
  </r>
  <r>
    <n v="2180"/>
    <x v="180"/>
    <x v="3"/>
    <x v="3"/>
    <x v="7"/>
    <x v="2"/>
    <n v="37"/>
    <n v="43240"/>
    <n v="0.1"/>
    <n v="1439892"/>
    <n v="284723.08"/>
  </r>
  <r>
    <n v="2181"/>
    <x v="181"/>
    <x v="7"/>
    <x v="0"/>
    <x v="2"/>
    <x v="0"/>
    <n v="6"/>
    <n v="451"/>
    <n v="0.1"/>
    <n v="2435.4"/>
    <n v="527.75"/>
  </r>
  <r>
    <n v="2182"/>
    <x v="182"/>
    <x v="6"/>
    <x v="3"/>
    <x v="7"/>
    <x v="2"/>
    <n v="40"/>
    <n v="169003"/>
    <n v="0.1"/>
    <n v="6084108"/>
    <n v="706109.04"/>
  </r>
  <r>
    <n v="2183"/>
    <x v="183"/>
    <x v="1"/>
    <x v="1"/>
    <x v="4"/>
    <x v="1"/>
    <n v="14"/>
    <n v="5963"/>
    <n v="0"/>
    <n v="83482"/>
    <n v="14522.09"/>
  </r>
  <r>
    <n v="2184"/>
    <x v="184"/>
    <x v="3"/>
    <x v="0"/>
    <x v="0"/>
    <x v="2"/>
    <n v="16"/>
    <n v="197"/>
    <n v="0.1"/>
    <n v="2836.8"/>
    <n v="533.14"/>
  </r>
  <r>
    <n v="2185"/>
    <x v="185"/>
    <x v="6"/>
    <x v="1"/>
    <x v="4"/>
    <x v="0"/>
    <n v="8"/>
    <n v="5338"/>
    <n v="0.1"/>
    <n v="38433.599999999999"/>
    <n v="7889.1"/>
  </r>
  <r>
    <n v="2186"/>
    <x v="186"/>
    <x v="2"/>
    <x v="3"/>
    <x v="10"/>
    <x v="0"/>
    <n v="28"/>
    <n v="61957"/>
    <n v="0"/>
    <n v="1734796"/>
    <n v="172044.01"/>
  </r>
  <r>
    <n v="2187"/>
    <x v="187"/>
    <x v="1"/>
    <x v="2"/>
    <x v="3"/>
    <x v="1"/>
    <n v="5"/>
    <n v="66432"/>
    <n v="0.1"/>
    <n v="298944"/>
    <n v="69912.86"/>
  </r>
  <r>
    <n v="2188"/>
    <x v="188"/>
    <x v="5"/>
    <x v="0"/>
    <x v="5"/>
    <x v="1"/>
    <n v="5"/>
    <n v="251"/>
    <n v="0.05"/>
    <n v="1192.25"/>
    <n v="291.66000000000003"/>
  </r>
  <r>
    <n v="2189"/>
    <x v="189"/>
    <x v="3"/>
    <x v="0"/>
    <x v="9"/>
    <x v="1"/>
    <n v="9"/>
    <n v="727"/>
    <n v="0"/>
    <n v="6543"/>
    <n v="647.16999999999996"/>
  </r>
  <r>
    <n v="2190"/>
    <x v="190"/>
    <x v="5"/>
    <x v="1"/>
    <x v="1"/>
    <x v="0"/>
    <n v="33"/>
    <n v="3004"/>
    <n v="0.1"/>
    <n v="89218.8"/>
    <n v="15174.55"/>
  </r>
  <r>
    <n v="2191"/>
    <x v="191"/>
    <x v="6"/>
    <x v="3"/>
    <x v="7"/>
    <x v="2"/>
    <n v="33"/>
    <n v="109661"/>
    <n v="0.05"/>
    <n v="3437872.35"/>
    <n v="391569.91999999998"/>
  </r>
  <r>
    <n v="2192"/>
    <x v="192"/>
    <x v="3"/>
    <x v="0"/>
    <x v="0"/>
    <x v="2"/>
    <n v="30"/>
    <n v="562"/>
    <n v="0"/>
    <n v="16860"/>
    <n v="3392.13"/>
  </r>
  <r>
    <n v="2193"/>
    <x v="193"/>
    <x v="2"/>
    <x v="2"/>
    <x v="3"/>
    <x v="2"/>
    <n v="39"/>
    <n v="108433"/>
    <n v="0"/>
    <n v="4228887"/>
    <n v="812260.63"/>
  </r>
  <r>
    <n v="2194"/>
    <x v="194"/>
    <x v="4"/>
    <x v="3"/>
    <x v="11"/>
    <x v="2"/>
    <n v="22"/>
    <n v="222036"/>
    <n v="0"/>
    <n v="4884792"/>
    <n v="975728.45"/>
  </r>
  <r>
    <n v="2195"/>
    <x v="195"/>
    <x v="6"/>
    <x v="0"/>
    <x v="2"/>
    <x v="1"/>
    <n v="16"/>
    <n v="728"/>
    <n v="0"/>
    <n v="11648"/>
    <n v="2839.77"/>
  </r>
  <r>
    <n v="2196"/>
    <x v="196"/>
    <x v="3"/>
    <x v="1"/>
    <x v="4"/>
    <x v="0"/>
    <n v="10"/>
    <n v="3529"/>
    <n v="0.05"/>
    <n v="33525.5"/>
    <n v="4079.9"/>
  </r>
  <r>
    <n v="2197"/>
    <x v="197"/>
    <x v="0"/>
    <x v="2"/>
    <x v="3"/>
    <x v="0"/>
    <n v="37"/>
    <n v="138901"/>
    <n v="0"/>
    <n v="5139337"/>
    <n v="1107225.49"/>
  </r>
  <r>
    <n v="2198"/>
    <x v="198"/>
    <x v="6"/>
    <x v="1"/>
    <x v="1"/>
    <x v="2"/>
    <n v="4"/>
    <n v="3681"/>
    <n v="0.1"/>
    <n v="13251.6"/>
    <n v="1171.26"/>
  </r>
  <r>
    <n v="2199"/>
    <x v="199"/>
    <x v="2"/>
    <x v="3"/>
    <x v="10"/>
    <x v="2"/>
    <n v="8"/>
    <n v="31355"/>
    <n v="0.05"/>
    <n v="238298"/>
    <n v="38154.67"/>
  </r>
  <r>
    <n v="2200"/>
    <x v="200"/>
    <x v="0"/>
    <x v="3"/>
    <x v="11"/>
    <x v="2"/>
    <n v="14"/>
    <n v="74997"/>
    <n v="0.05"/>
    <n v="997460.1"/>
    <n v="169413.77"/>
  </r>
  <r>
    <n v="2201"/>
    <x v="201"/>
    <x v="7"/>
    <x v="3"/>
    <x v="7"/>
    <x v="1"/>
    <n v="5"/>
    <n v="30699"/>
    <n v="0.05"/>
    <n v="145820.25"/>
    <n v="14765.11"/>
  </r>
  <r>
    <n v="2202"/>
    <x v="202"/>
    <x v="5"/>
    <x v="0"/>
    <x v="5"/>
    <x v="0"/>
    <n v="30"/>
    <n v="194"/>
    <n v="0.1"/>
    <n v="5238"/>
    <n v="687.37"/>
  </r>
  <r>
    <n v="2203"/>
    <x v="203"/>
    <x v="2"/>
    <x v="0"/>
    <x v="0"/>
    <x v="2"/>
    <n v="16"/>
    <n v="576"/>
    <n v="0.05"/>
    <n v="8755.2000000000007"/>
    <n v="1973.93"/>
  </r>
  <r>
    <n v="2204"/>
    <x v="204"/>
    <x v="1"/>
    <x v="0"/>
    <x v="9"/>
    <x v="0"/>
    <n v="19"/>
    <n v="414"/>
    <n v="0.1"/>
    <n v="7079.4"/>
    <n v="1696.57"/>
  </r>
  <r>
    <n v="2205"/>
    <x v="205"/>
    <x v="4"/>
    <x v="3"/>
    <x v="7"/>
    <x v="2"/>
    <n v="39"/>
    <n v="54137"/>
    <n v="0.1"/>
    <n v="1900208.7"/>
    <n v="394040.78"/>
  </r>
  <r>
    <n v="2206"/>
    <x v="206"/>
    <x v="6"/>
    <x v="2"/>
    <x v="3"/>
    <x v="0"/>
    <n v="20"/>
    <n v="32320"/>
    <n v="0.1"/>
    <n v="581760"/>
    <n v="51390.59"/>
  </r>
  <r>
    <n v="2207"/>
    <x v="207"/>
    <x v="3"/>
    <x v="2"/>
    <x v="8"/>
    <x v="2"/>
    <n v="15"/>
    <n v="86384"/>
    <n v="0.1"/>
    <n v="1166184"/>
    <n v="137338.54"/>
  </r>
  <r>
    <n v="2208"/>
    <x v="208"/>
    <x v="0"/>
    <x v="0"/>
    <x v="12"/>
    <x v="2"/>
    <n v="28"/>
    <n v="625"/>
    <n v="0.05"/>
    <n v="16625"/>
    <n v="2752.07"/>
  </r>
  <r>
    <n v="2209"/>
    <x v="209"/>
    <x v="3"/>
    <x v="1"/>
    <x v="1"/>
    <x v="1"/>
    <n v="38"/>
    <n v="5500"/>
    <n v="0.1"/>
    <n v="188100"/>
    <n v="21897.34"/>
  </r>
  <r>
    <n v="2210"/>
    <x v="210"/>
    <x v="6"/>
    <x v="0"/>
    <x v="2"/>
    <x v="1"/>
    <n v="38"/>
    <n v="582"/>
    <n v="0.1"/>
    <n v="19904.400000000001"/>
    <n v="2426.9299999999998"/>
  </r>
  <r>
    <n v="2211"/>
    <x v="211"/>
    <x v="1"/>
    <x v="2"/>
    <x v="3"/>
    <x v="2"/>
    <n v="14"/>
    <n v="131320"/>
    <n v="0.05"/>
    <n v="1746556"/>
    <n v="349888.55"/>
  </r>
  <r>
    <n v="2212"/>
    <x v="212"/>
    <x v="4"/>
    <x v="0"/>
    <x v="0"/>
    <x v="0"/>
    <n v="29"/>
    <n v="672"/>
    <n v="0.1"/>
    <n v="17539.2"/>
    <n v="1897.22"/>
  </r>
  <r>
    <n v="2213"/>
    <x v="213"/>
    <x v="6"/>
    <x v="3"/>
    <x v="7"/>
    <x v="0"/>
    <n v="20"/>
    <n v="139306"/>
    <n v="0.1"/>
    <n v="2507508"/>
    <n v="470261.25"/>
  </r>
  <r>
    <n v="2214"/>
    <x v="214"/>
    <x v="7"/>
    <x v="2"/>
    <x v="3"/>
    <x v="1"/>
    <n v="38"/>
    <n v="25723"/>
    <n v="0.05"/>
    <n v="928600.3"/>
    <n v="100356.12"/>
  </r>
  <r>
    <n v="2215"/>
    <x v="215"/>
    <x v="0"/>
    <x v="0"/>
    <x v="0"/>
    <x v="0"/>
    <n v="25"/>
    <n v="580"/>
    <n v="0"/>
    <n v="14500"/>
    <n v="3410.58"/>
  </r>
  <r>
    <n v="2216"/>
    <x v="216"/>
    <x v="4"/>
    <x v="3"/>
    <x v="7"/>
    <x v="1"/>
    <n v="21"/>
    <n v="135439"/>
    <n v="0.1"/>
    <n v="2559797.1"/>
    <n v="385121.52"/>
  </r>
  <r>
    <n v="2217"/>
    <x v="217"/>
    <x v="6"/>
    <x v="2"/>
    <x v="3"/>
    <x v="0"/>
    <n v="16"/>
    <n v="138867"/>
    <n v="0"/>
    <n v="2221872"/>
    <n v="181887.08"/>
  </r>
  <r>
    <n v="2218"/>
    <x v="218"/>
    <x v="6"/>
    <x v="2"/>
    <x v="8"/>
    <x v="0"/>
    <n v="38"/>
    <n v="22219"/>
    <n v="0"/>
    <n v="844322"/>
    <n v="145022.26"/>
  </r>
  <r>
    <n v="2219"/>
    <x v="219"/>
    <x v="4"/>
    <x v="0"/>
    <x v="12"/>
    <x v="0"/>
    <n v="19"/>
    <n v="337"/>
    <n v="0.1"/>
    <n v="5762.7"/>
    <n v="532.04999999999995"/>
  </r>
  <r>
    <n v="2220"/>
    <x v="220"/>
    <x v="2"/>
    <x v="3"/>
    <x v="11"/>
    <x v="0"/>
    <n v="29"/>
    <n v="166434"/>
    <n v="0.05"/>
    <n v="4585256.7"/>
    <n v="1099191.1299999999"/>
  </r>
  <r>
    <n v="2221"/>
    <x v="221"/>
    <x v="4"/>
    <x v="0"/>
    <x v="2"/>
    <x v="2"/>
    <n v="14"/>
    <n v="211"/>
    <n v="0.05"/>
    <n v="2806.3"/>
    <n v="484.53"/>
  </r>
  <r>
    <n v="2222"/>
    <x v="222"/>
    <x v="3"/>
    <x v="0"/>
    <x v="5"/>
    <x v="0"/>
    <n v="40"/>
    <n v="375"/>
    <n v="0.05"/>
    <n v="14250"/>
    <n v="1491.86"/>
  </r>
  <r>
    <n v="2223"/>
    <x v="223"/>
    <x v="7"/>
    <x v="2"/>
    <x v="8"/>
    <x v="0"/>
    <n v="33"/>
    <n v="143168"/>
    <n v="0.1"/>
    <n v="4252089.5999999996"/>
    <n v="613440.79"/>
  </r>
  <r>
    <n v="2224"/>
    <x v="224"/>
    <x v="2"/>
    <x v="2"/>
    <x v="8"/>
    <x v="1"/>
    <n v="29"/>
    <n v="92221"/>
    <n v="0"/>
    <n v="2674409"/>
    <n v="529001.80000000005"/>
  </r>
  <r>
    <n v="2225"/>
    <x v="225"/>
    <x v="5"/>
    <x v="3"/>
    <x v="7"/>
    <x v="2"/>
    <n v="20"/>
    <n v="217822"/>
    <n v="0.05"/>
    <n v="4138618"/>
    <n v="818924.13"/>
  </r>
  <r>
    <n v="2226"/>
    <x v="226"/>
    <x v="3"/>
    <x v="0"/>
    <x v="2"/>
    <x v="0"/>
    <n v="22"/>
    <n v="755"/>
    <n v="0.05"/>
    <n v="15779.5"/>
    <n v="2342.71"/>
  </r>
  <r>
    <n v="2227"/>
    <x v="227"/>
    <x v="5"/>
    <x v="2"/>
    <x v="6"/>
    <x v="0"/>
    <n v="6"/>
    <n v="46567"/>
    <n v="0"/>
    <n v="279402"/>
    <n v="30059.96"/>
  </r>
  <r>
    <n v="2228"/>
    <x v="228"/>
    <x v="7"/>
    <x v="0"/>
    <x v="12"/>
    <x v="1"/>
    <n v="3"/>
    <n v="446"/>
    <n v="0"/>
    <n v="1338"/>
    <n v="164.56"/>
  </r>
  <r>
    <n v="2229"/>
    <x v="229"/>
    <x v="5"/>
    <x v="0"/>
    <x v="12"/>
    <x v="2"/>
    <n v="23"/>
    <n v="672"/>
    <n v="0.1"/>
    <n v="13910.4"/>
    <n v="2772.35"/>
  </r>
  <r>
    <n v="2230"/>
    <x v="230"/>
    <x v="6"/>
    <x v="2"/>
    <x v="3"/>
    <x v="1"/>
    <n v="32"/>
    <n v="70795"/>
    <n v="0"/>
    <n v="2265440"/>
    <n v="288511.59000000003"/>
  </r>
  <r>
    <n v="2231"/>
    <x v="231"/>
    <x v="7"/>
    <x v="1"/>
    <x v="4"/>
    <x v="1"/>
    <n v="19"/>
    <n v="7870"/>
    <n v="0.1"/>
    <n v="134577"/>
    <n v="23460.93"/>
  </r>
  <r>
    <n v="2232"/>
    <x v="232"/>
    <x v="1"/>
    <x v="0"/>
    <x v="2"/>
    <x v="2"/>
    <n v="38"/>
    <n v="514"/>
    <n v="0.05"/>
    <n v="18555.400000000001"/>
    <n v="2674.63"/>
  </r>
  <r>
    <n v="2233"/>
    <x v="233"/>
    <x v="6"/>
    <x v="0"/>
    <x v="5"/>
    <x v="2"/>
    <n v="29"/>
    <n v="172"/>
    <n v="0.1"/>
    <n v="4489.2"/>
    <n v="1018.68"/>
  </r>
  <r>
    <n v="2234"/>
    <x v="234"/>
    <x v="3"/>
    <x v="2"/>
    <x v="6"/>
    <x v="2"/>
    <n v="10"/>
    <n v="96619"/>
    <n v="0.05"/>
    <n v="917880.5"/>
    <n v="151132.81"/>
  </r>
  <r>
    <n v="2235"/>
    <x v="235"/>
    <x v="1"/>
    <x v="3"/>
    <x v="11"/>
    <x v="1"/>
    <n v="14"/>
    <n v="211844"/>
    <n v="0"/>
    <n v="2965816"/>
    <n v="265688.83"/>
  </r>
  <r>
    <n v="2236"/>
    <x v="236"/>
    <x v="2"/>
    <x v="1"/>
    <x v="4"/>
    <x v="0"/>
    <n v="26"/>
    <n v="3794"/>
    <n v="0.1"/>
    <n v="88779.6"/>
    <n v="15829.94"/>
  </r>
  <r>
    <n v="2237"/>
    <x v="237"/>
    <x v="1"/>
    <x v="2"/>
    <x v="3"/>
    <x v="1"/>
    <n v="22"/>
    <n v="15390"/>
    <n v="0"/>
    <n v="338580"/>
    <n v="82563.66"/>
  </r>
  <r>
    <n v="2238"/>
    <x v="238"/>
    <x v="1"/>
    <x v="1"/>
    <x v="1"/>
    <x v="1"/>
    <n v="39"/>
    <n v="6048"/>
    <n v="0.1"/>
    <n v="212284.79999999999"/>
    <n v="27432.26"/>
  </r>
  <r>
    <n v="2239"/>
    <x v="239"/>
    <x v="4"/>
    <x v="2"/>
    <x v="6"/>
    <x v="0"/>
    <n v="13"/>
    <n v="41863"/>
    <n v="0.05"/>
    <n v="517008.05"/>
    <n v="104334.65"/>
  </r>
  <r>
    <n v="2240"/>
    <x v="240"/>
    <x v="1"/>
    <x v="3"/>
    <x v="10"/>
    <x v="2"/>
    <n v="35"/>
    <n v="40321"/>
    <n v="0.1"/>
    <n v="1270111.5"/>
    <n v="165223.76999999999"/>
  </r>
  <r>
    <n v="2241"/>
    <x v="241"/>
    <x v="5"/>
    <x v="3"/>
    <x v="10"/>
    <x v="2"/>
    <n v="34"/>
    <n v="68821"/>
    <n v="0.05"/>
    <n v="2222918.2999999998"/>
    <n v="467668.1"/>
  </r>
  <r>
    <n v="2242"/>
    <x v="242"/>
    <x v="1"/>
    <x v="2"/>
    <x v="8"/>
    <x v="2"/>
    <n v="26"/>
    <n v="64392"/>
    <n v="0"/>
    <n v="1674192"/>
    <n v="357250.25"/>
  </r>
  <r>
    <n v="2243"/>
    <x v="243"/>
    <x v="3"/>
    <x v="3"/>
    <x v="10"/>
    <x v="1"/>
    <n v="4"/>
    <n v="26275"/>
    <n v="0.05"/>
    <n v="99845"/>
    <n v="24416.42"/>
  </r>
  <r>
    <n v="2244"/>
    <x v="244"/>
    <x v="3"/>
    <x v="2"/>
    <x v="3"/>
    <x v="1"/>
    <n v="13"/>
    <n v="43666"/>
    <n v="0.1"/>
    <n v="510892.2"/>
    <n v="92517.15"/>
  </r>
  <r>
    <n v="2245"/>
    <x v="245"/>
    <x v="5"/>
    <x v="3"/>
    <x v="7"/>
    <x v="2"/>
    <n v="40"/>
    <n v="88224"/>
    <n v="0"/>
    <n v="3528960"/>
    <n v="879468.95"/>
  </r>
  <r>
    <n v="2246"/>
    <x v="246"/>
    <x v="7"/>
    <x v="3"/>
    <x v="10"/>
    <x v="2"/>
    <n v="23"/>
    <n v="198888"/>
    <n v="0.05"/>
    <n v="4345702.8"/>
    <n v="701675.97"/>
  </r>
  <r>
    <n v="2247"/>
    <x v="247"/>
    <x v="6"/>
    <x v="3"/>
    <x v="7"/>
    <x v="0"/>
    <n v="3"/>
    <n v="249567"/>
    <n v="0.05"/>
    <n v="711265.95"/>
    <n v="109811.61"/>
  </r>
  <r>
    <n v="2248"/>
    <x v="248"/>
    <x v="2"/>
    <x v="2"/>
    <x v="3"/>
    <x v="0"/>
    <n v="11"/>
    <n v="87967"/>
    <n v="0"/>
    <n v="967637"/>
    <n v="140226.46"/>
  </r>
  <r>
    <n v="2249"/>
    <x v="249"/>
    <x v="4"/>
    <x v="3"/>
    <x v="7"/>
    <x v="0"/>
    <n v="36"/>
    <n v="124457"/>
    <n v="0"/>
    <n v="4480452"/>
    <n v="715211.66"/>
  </r>
  <r>
    <n v="2250"/>
    <x v="250"/>
    <x v="3"/>
    <x v="2"/>
    <x v="8"/>
    <x v="2"/>
    <n v="34"/>
    <n v="98310"/>
    <n v="0.05"/>
    <n v="3175413"/>
    <n v="778630.8"/>
  </r>
  <r>
    <n v="2251"/>
    <x v="251"/>
    <x v="7"/>
    <x v="2"/>
    <x v="6"/>
    <x v="2"/>
    <n v="12"/>
    <n v="27786"/>
    <n v="0"/>
    <n v="333432"/>
    <n v="41735.730000000003"/>
  </r>
  <r>
    <n v="2252"/>
    <x v="252"/>
    <x v="7"/>
    <x v="2"/>
    <x v="8"/>
    <x v="0"/>
    <n v="35"/>
    <n v="71177"/>
    <n v="0"/>
    <n v="2491195"/>
    <n v="556655.48"/>
  </r>
  <r>
    <n v="2253"/>
    <x v="253"/>
    <x v="4"/>
    <x v="2"/>
    <x v="3"/>
    <x v="1"/>
    <n v="10"/>
    <n v="149332"/>
    <n v="0.1"/>
    <n v="1343988"/>
    <n v="209017.94"/>
  </r>
  <r>
    <n v="2254"/>
    <x v="254"/>
    <x v="2"/>
    <x v="1"/>
    <x v="1"/>
    <x v="0"/>
    <n v="5"/>
    <n v="4636"/>
    <n v="0"/>
    <n v="23180"/>
    <n v="2146.48"/>
  </r>
  <r>
    <n v="2255"/>
    <x v="255"/>
    <x v="3"/>
    <x v="0"/>
    <x v="9"/>
    <x v="2"/>
    <n v="35"/>
    <n v="365"/>
    <n v="0.05"/>
    <n v="12136.25"/>
    <n v="1158.56"/>
  </r>
  <r>
    <n v="2256"/>
    <x v="256"/>
    <x v="0"/>
    <x v="2"/>
    <x v="3"/>
    <x v="0"/>
    <n v="30"/>
    <n v="34661"/>
    <n v="0.05"/>
    <n v="987838.5"/>
    <n v="141325.25"/>
  </r>
  <r>
    <n v="2257"/>
    <x v="257"/>
    <x v="3"/>
    <x v="0"/>
    <x v="0"/>
    <x v="2"/>
    <n v="40"/>
    <n v="159"/>
    <n v="0.05"/>
    <n v="6042"/>
    <n v="783.96"/>
  </r>
  <r>
    <n v="2258"/>
    <x v="258"/>
    <x v="3"/>
    <x v="2"/>
    <x v="6"/>
    <x v="2"/>
    <n v="24"/>
    <n v="129067"/>
    <n v="0.05"/>
    <n v="2942727.6"/>
    <n v="522453.96"/>
  </r>
  <r>
    <n v="2259"/>
    <x v="259"/>
    <x v="5"/>
    <x v="0"/>
    <x v="12"/>
    <x v="2"/>
    <n v="30"/>
    <n v="446"/>
    <n v="0"/>
    <n v="13380"/>
    <n v="2799.94"/>
  </r>
  <r>
    <n v="2260"/>
    <x v="260"/>
    <x v="2"/>
    <x v="3"/>
    <x v="10"/>
    <x v="0"/>
    <n v="37"/>
    <n v="28621"/>
    <n v="0"/>
    <n v="1058977"/>
    <n v="109739.74"/>
  </r>
  <r>
    <n v="2261"/>
    <x v="261"/>
    <x v="5"/>
    <x v="2"/>
    <x v="3"/>
    <x v="1"/>
    <n v="25"/>
    <n v="131320"/>
    <n v="0.1"/>
    <n v="2954700"/>
    <n v="711510.49"/>
  </r>
  <r>
    <n v="2262"/>
    <x v="262"/>
    <x v="7"/>
    <x v="1"/>
    <x v="1"/>
    <x v="1"/>
    <n v="36"/>
    <n v="3002"/>
    <n v="0"/>
    <n v="108072"/>
    <n v="11911.88"/>
  </r>
  <r>
    <n v="2263"/>
    <x v="263"/>
    <x v="5"/>
    <x v="1"/>
    <x v="4"/>
    <x v="2"/>
    <n v="32"/>
    <n v="7750"/>
    <n v="0"/>
    <n v="248000"/>
    <n v="22360.25"/>
  </r>
  <r>
    <n v="2264"/>
    <x v="264"/>
    <x v="2"/>
    <x v="2"/>
    <x v="3"/>
    <x v="0"/>
    <n v="1"/>
    <n v="104178"/>
    <n v="0.1"/>
    <n v="93760.2"/>
    <n v="11819.44"/>
  </r>
  <r>
    <n v="2265"/>
    <x v="265"/>
    <x v="1"/>
    <x v="1"/>
    <x v="1"/>
    <x v="0"/>
    <n v="18"/>
    <n v="5962"/>
    <n v="0.1"/>
    <n v="96584.4"/>
    <n v="22364.16"/>
  </r>
  <r>
    <n v="2266"/>
    <x v="266"/>
    <x v="5"/>
    <x v="1"/>
    <x v="4"/>
    <x v="1"/>
    <n v="11"/>
    <n v="7365"/>
    <n v="0"/>
    <n v="81015"/>
    <n v="9790.99"/>
  </r>
  <r>
    <n v="2267"/>
    <x v="267"/>
    <x v="7"/>
    <x v="3"/>
    <x v="11"/>
    <x v="0"/>
    <n v="6"/>
    <n v="21713"/>
    <n v="0"/>
    <n v="130278"/>
    <n v="24402.68"/>
  </r>
  <r>
    <n v="2268"/>
    <x v="268"/>
    <x v="0"/>
    <x v="2"/>
    <x v="8"/>
    <x v="1"/>
    <n v="5"/>
    <n v="149307"/>
    <n v="0"/>
    <n v="746535"/>
    <n v="105380.52"/>
  </r>
  <r>
    <n v="2269"/>
    <x v="269"/>
    <x v="6"/>
    <x v="3"/>
    <x v="7"/>
    <x v="2"/>
    <n v="3"/>
    <n v="229991"/>
    <n v="0"/>
    <n v="689973"/>
    <n v="104799.8"/>
  </r>
  <r>
    <n v="2270"/>
    <x v="270"/>
    <x v="7"/>
    <x v="2"/>
    <x v="6"/>
    <x v="2"/>
    <n v="9"/>
    <n v="101067"/>
    <n v="0"/>
    <n v="909603"/>
    <n v="157721.76"/>
  </r>
  <r>
    <n v="2271"/>
    <x v="271"/>
    <x v="1"/>
    <x v="2"/>
    <x v="8"/>
    <x v="0"/>
    <n v="9"/>
    <n v="125267"/>
    <n v="0"/>
    <n v="1127403"/>
    <n v="256492.15"/>
  </r>
  <r>
    <n v="2272"/>
    <x v="272"/>
    <x v="1"/>
    <x v="1"/>
    <x v="1"/>
    <x v="1"/>
    <n v="11"/>
    <n v="5620"/>
    <n v="0.05"/>
    <n v="58729"/>
    <n v="5519.03"/>
  </r>
  <r>
    <n v="2273"/>
    <x v="273"/>
    <x v="4"/>
    <x v="3"/>
    <x v="11"/>
    <x v="1"/>
    <n v="30"/>
    <n v="210488"/>
    <n v="0.05"/>
    <n v="5998908"/>
    <n v="687026.18"/>
  </r>
  <r>
    <n v="2274"/>
    <x v="274"/>
    <x v="5"/>
    <x v="0"/>
    <x v="5"/>
    <x v="0"/>
    <n v="29"/>
    <n v="317"/>
    <n v="0.1"/>
    <n v="8273.7000000000007"/>
    <n v="1089.32"/>
  </r>
  <r>
    <n v="2275"/>
    <x v="275"/>
    <x v="3"/>
    <x v="1"/>
    <x v="4"/>
    <x v="2"/>
    <n v="23"/>
    <n v="4759"/>
    <n v="0.1"/>
    <n v="98511.3"/>
    <n v="10094.629999999999"/>
  </r>
  <r>
    <n v="2276"/>
    <x v="276"/>
    <x v="3"/>
    <x v="3"/>
    <x v="11"/>
    <x v="0"/>
    <n v="20"/>
    <n v="159003"/>
    <n v="0"/>
    <n v="3180060"/>
    <n v="457849.33"/>
  </r>
  <r>
    <n v="2277"/>
    <x v="277"/>
    <x v="4"/>
    <x v="1"/>
    <x v="1"/>
    <x v="0"/>
    <n v="12"/>
    <n v="3970"/>
    <n v="0"/>
    <n v="47640"/>
    <n v="8694.64"/>
  </r>
  <r>
    <n v="2278"/>
    <x v="278"/>
    <x v="0"/>
    <x v="2"/>
    <x v="3"/>
    <x v="2"/>
    <n v="30"/>
    <n v="55433"/>
    <n v="0.1"/>
    <n v="1496691"/>
    <n v="190157.01"/>
  </r>
  <r>
    <n v="2279"/>
    <x v="279"/>
    <x v="3"/>
    <x v="2"/>
    <x v="3"/>
    <x v="0"/>
    <n v="9"/>
    <n v="31292"/>
    <n v="0.1"/>
    <n v="253465.2"/>
    <n v="55302.23"/>
  </r>
  <r>
    <n v="2280"/>
    <x v="280"/>
    <x v="2"/>
    <x v="2"/>
    <x v="6"/>
    <x v="0"/>
    <n v="24"/>
    <n v="58147"/>
    <n v="0.1"/>
    <n v="1255975.2"/>
    <n v="146930.10999999999"/>
  </r>
  <r>
    <n v="2281"/>
    <x v="281"/>
    <x v="1"/>
    <x v="3"/>
    <x v="10"/>
    <x v="2"/>
    <n v="33"/>
    <n v="215174"/>
    <n v="0"/>
    <n v="7100742"/>
    <n v="1615046.5"/>
  </r>
  <r>
    <n v="2282"/>
    <x v="282"/>
    <x v="6"/>
    <x v="1"/>
    <x v="4"/>
    <x v="0"/>
    <n v="36"/>
    <n v="6654"/>
    <n v="0.05"/>
    <n v="227566.8"/>
    <n v="28165.06"/>
  </r>
  <r>
    <n v="2283"/>
    <x v="283"/>
    <x v="7"/>
    <x v="3"/>
    <x v="11"/>
    <x v="0"/>
    <n v="3"/>
    <n v="211255"/>
    <n v="0"/>
    <n v="633765"/>
    <n v="103232.42"/>
  </r>
  <r>
    <n v="2284"/>
    <x v="284"/>
    <x v="2"/>
    <x v="1"/>
    <x v="4"/>
    <x v="0"/>
    <n v="37"/>
    <n v="4650"/>
    <n v="0.05"/>
    <n v="163447.5"/>
    <n v="37483.29"/>
  </r>
  <r>
    <n v="2285"/>
    <x v="285"/>
    <x v="0"/>
    <x v="0"/>
    <x v="0"/>
    <x v="2"/>
    <n v="12"/>
    <n v="236"/>
    <n v="0.05"/>
    <n v="2690.4"/>
    <n v="622.92999999999995"/>
  </r>
  <r>
    <n v="2286"/>
    <x v="286"/>
    <x v="3"/>
    <x v="1"/>
    <x v="4"/>
    <x v="2"/>
    <n v="35"/>
    <n v="6943"/>
    <n v="0.1"/>
    <n v="218704.5"/>
    <n v="48293.79"/>
  </r>
  <r>
    <n v="2287"/>
    <x v="287"/>
    <x v="6"/>
    <x v="2"/>
    <x v="3"/>
    <x v="2"/>
    <n v="31"/>
    <n v="56007"/>
    <n v="0"/>
    <n v="1736217"/>
    <n v="220570.3"/>
  </r>
  <r>
    <n v="2288"/>
    <x v="288"/>
    <x v="5"/>
    <x v="3"/>
    <x v="7"/>
    <x v="1"/>
    <n v="17"/>
    <n v="43702"/>
    <n v="0"/>
    <n v="742934"/>
    <n v="147178.79"/>
  </r>
  <r>
    <n v="2289"/>
    <x v="289"/>
    <x v="1"/>
    <x v="2"/>
    <x v="8"/>
    <x v="2"/>
    <n v="23"/>
    <n v="56225"/>
    <n v="0.05"/>
    <n v="1228516.25"/>
    <n v="278844.45"/>
  </r>
  <r>
    <n v="2290"/>
    <x v="290"/>
    <x v="4"/>
    <x v="3"/>
    <x v="10"/>
    <x v="1"/>
    <n v="14"/>
    <n v="94236"/>
    <n v="0.05"/>
    <n v="1253338.8"/>
    <n v="308820.76"/>
  </r>
  <r>
    <n v="2291"/>
    <x v="291"/>
    <x v="6"/>
    <x v="3"/>
    <x v="10"/>
    <x v="0"/>
    <n v="21"/>
    <n v="136261"/>
    <n v="0.1"/>
    <n v="2575332.9"/>
    <n v="546080.09"/>
  </r>
  <r>
    <n v="2292"/>
    <x v="292"/>
    <x v="1"/>
    <x v="1"/>
    <x v="4"/>
    <x v="2"/>
    <n v="20"/>
    <n v="7510"/>
    <n v="0.05"/>
    <n v="142690"/>
    <n v="29476.41"/>
  </r>
  <r>
    <n v="2293"/>
    <x v="293"/>
    <x v="6"/>
    <x v="2"/>
    <x v="6"/>
    <x v="1"/>
    <n v="7"/>
    <n v="52894"/>
    <n v="0.05"/>
    <n v="351745.1"/>
    <n v="54248.85"/>
  </r>
  <r>
    <n v="2294"/>
    <x v="294"/>
    <x v="5"/>
    <x v="1"/>
    <x v="1"/>
    <x v="0"/>
    <n v="21"/>
    <n v="7846"/>
    <n v="0.05"/>
    <n v="156527.70000000001"/>
    <n v="32469.77"/>
  </r>
  <r>
    <n v="2295"/>
    <x v="295"/>
    <x v="5"/>
    <x v="3"/>
    <x v="11"/>
    <x v="2"/>
    <n v="7"/>
    <n v="109749"/>
    <n v="0"/>
    <n v="768243"/>
    <n v="103381.98"/>
  </r>
  <r>
    <n v="2296"/>
    <x v="296"/>
    <x v="5"/>
    <x v="3"/>
    <x v="11"/>
    <x v="1"/>
    <n v="4"/>
    <n v="175379"/>
    <n v="0.05"/>
    <n v="666440.19999999995"/>
    <n v="127407.08"/>
  </r>
  <r>
    <n v="2297"/>
    <x v="297"/>
    <x v="3"/>
    <x v="1"/>
    <x v="1"/>
    <x v="2"/>
    <n v="4"/>
    <n v="3866"/>
    <n v="0.1"/>
    <n v="13917.6"/>
    <n v="1695.19"/>
  </r>
  <r>
    <n v="2298"/>
    <x v="298"/>
    <x v="6"/>
    <x v="2"/>
    <x v="6"/>
    <x v="0"/>
    <n v="28"/>
    <n v="77974"/>
    <n v="0"/>
    <n v="2183272"/>
    <n v="454070.87"/>
  </r>
  <r>
    <n v="2299"/>
    <x v="299"/>
    <x v="4"/>
    <x v="0"/>
    <x v="2"/>
    <x v="2"/>
    <n v="1"/>
    <n v="215"/>
    <n v="0"/>
    <n v="215"/>
    <n v="18.62"/>
  </r>
  <r>
    <n v="2300"/>
    <x v="300"/>
    <x v="4"/>
    <x v="1"/>
    <x v="4"/>
    <x v="2"/>
    <n v="13"/>
    <n v="6894"/>
    <n v="0.05"/>
    <n v="85140.9"/>
    <n v="18201.900000000001"/>
  </r>
  <r>
    <n v="2301"/>
    <x v="301"/>
    <x v="7"/>
    <x v="1"/>
    <x v="4"/>
    <x v="2"/>
    <n v="15"/>
    <n v="5385"/>
    <n v="0.1"/>
    <n v="72697.5"/>
    <n v="16227.14"/>
  </r>
  <r>
    <n v="2302"/>
    <x v="302"/>
    <x v="6"/>
    <x v="1"/>
    <x v="4"/>
    <x v="1"/>
    <n v="21"/>
    <n v="7445"/>
    <n v="0.1"/>
    <n v="140710.5"/>
    <n v="12590.82"/>
  </r>
  <r>
    <n v="2303"/>
    <x v="303"/>
    <x v="3"/>
    <x v="2"/>
    <x v="8"/>
    <x v="1"/>
    <n v="40"/>
    <n v="103577"/>
    <n v="0.1"/>
    <n v="3728772"/>
    <n v="618883.27"/>
  </r>
  <r>
    <n v="2304"/>
    <x v="304"/>
    <x v="5"/>
    <x v="3"/>
    <x v="7"/>
    <x v="0"/>
    <n v="36"/>
    <n v="75926"/>
    <n v="0.1"/>
    <n v="2460002.4"/>
    <n v="210102.65"/>
  </r>
  <r>
    <n v="2305"/>
    <x v="305"/>
    <x v="0"/>
    <x v="0"/>
    <x v="9"/>
    <x v="1"/>
    <n v="6"/>
    <n v="466"/>
    <n v="0.05"/>
    <n v="2656.2"/>
    <n v="662.27"/>
  </r>
  <r>
    <n v="2306"/>
    <x v="306"/>
    <x v="5"/>
    <x v="2"/>
    <x v="3"/>
    <x v="0"/>
    <n v="9"/>
    <n v="23323"/>
    <n v="0"/>
    <n v="209907"/>
    <n v="31462.61"/>
  </r>
  <r>
    <n v="2307"/>
    <x v="307"/>
    <x v="7"/>
    <x v="1"/>
    <x v="1"/>
    <x v="2"/>
    <n v="31"/>
    <n v="5889"/>
    <n v="0"/>
    <n v="182559"/>
    <n v="35800.01"/>
  </r>
  <r>
    <n v="2308"/>
    <x v="308"/>
    <x v="7"/>
    <x v="3"/>
    <x v="11"/>
    <x v="2"/>
    <n v="40"/>
    <n v="33157"/>
    <n v="0.1"/>
    <n v="1193652"/>
    <n v="186369.28"/>
  </r>
  <r>
    <n v="2309"/>
    <x v="309"/>
    <x v="6"/>
    <x v="0"/>
    <x v="2"/>
    <x v="0"/>
    <n v="27"/>
    <n v="348"/>
    <n v="0"/>
    <n v="9396"/>
    <n v="1132.3599999999999"/>
  </r>
  <r>
    <n v="2310"/>
    <x v="310"/>
    <x v="3"/>
    <x v="0"/>
    <x v="0"/>
    <x v="2"/>
    <n v="23"/>
    <n v="418"/>
    <n v="0"/>
    <n v="9614"/>
    <n v="1117.05"/>
  </r>
  <r>
    <n v="2311"/>
    <x v="311"/>
    <x v="2"/>
    <x v="2"/>
    <x v="3"/>
    <x v="0"/>
    <n v="27"/>
    <n v="97430"/>
    <n v="0.1"/>
    <n v="2367549"/>
    <n v="263657.98"/>
  </r>
  <r>
    <n v="2312"/>
    <x v="312"/>
    <x v="3"/>
    <x v="2"/>
    <x v="6"/>
    <x v="0"/>
    <n v="14"/>
    <n v="135460"/>
    <n v="0"/>
    <n v="1896440"/>
    <n v="377018.9"/>
  </r>
  <r>
    <n v="2313"/>
    <x v="313"/>
    <x v="0"/>
    <x v="1"/>
    <x v="1"/>
    <x v="0"/>
    <n v="2"/>
    <n v="7346"/>
    <n v="0"/>
    <n v="14692"/>
    <n v="1870.59"/>
  </r>
  <r>
    <n v="2314"/>
    <x v="314"/>
    <x v="4"/>
    <x v="1"/>
    <x v="1"/>
    <x v="2"/>
    <n v="26"/>
    <n v="5212"/>
    <n v="0.1"/>
    <n v="121960.8"/>
    <n v="18391.18"/>
  </r>
  <r>
    <n v="2315"/>
    <x v="315"/>
    <x v="5"/>
    <x v="3"/>
    <x v="11"/>
    <x v="1"/>
    <n v="36"/>
    <n v="107023"/>
    <n v="0"/>
    <n v="3852828"/>
    <n v="943164.44"/>
  </r>
  <r>
    <n v="2316"/>
    <x v="316"/>
    <x v="5"/>
    <x v="1"/>
    <x v="4"/>
    <x v="0"/>
    <n v="35"/>
    <n v="7758"/>
    <n v="0.1"/>
    <n v="244377"/>
    <n v="34871.03"/>
  </r>
  <r>
    <n v="2317"/>
    <x v="317"/>
    <x v="2"/>
    <x v="2"/>
    <x v="3"/>
    <x v="1"/>
    <n v="33"/>
    <n v="96206"/>
    <n v="0"/>
    <n v="3174798"/>
    <n v="339406.85"/>
  </r>
  <r>
    <n v="2318"/>
    <x v="318"/>
    <x v="5"/>
    <x v="2"/>
    <x v="8"/>
    <x v="0"/>
    <n v="25"/>
    <n v="35116"/>
    <n v="0.05"/>
    <n v="834005"/>
    <n v="163601.59"/>
  </r>
  <r>
    <n v="2319"/>
    <x v="319"/>
    <x v="6"/>
    <x v="0"/>
    <x v="9"/>
    <x v="2"/>
    <n v="8"/>
    <n v="346"/>
    <n v="0.1"/>
    <n v="2491.1999999999998"/>
    <n v="349.67"/>
  </r>
  <r>
    <n v="2320"/>
    <x v="320"/>
    <x v="3"/>
    <x v="0"/>
    <x v="2"/>
    <x v="2"/>
    <n v="38"/>
    <n v="319"/>
    <n v="0"/>
    <n v="12122"/>
    <n v="2588.12"/>
  </r>
  <r>
    <n v="2321"/>
    <x v="321"/>
    <x v="1"/>
    <x v="1"/>
    <x v="1"/>
    <x v="2"/>
    <n v="31"/>
    <n v="3487"/>
    <n v="0.1"/>
    <n v="97287.3"/>
    <n v="23099.360000000001"/>
  </r>
  <r>
    <n v="2322"/>
    <x v="322"/>
    <x v="1"/>
    <x v="1"/>
    <x v="4"/>
    <x v="2"/>
    <n v="1"/>
    <n v="4638"/>
    <n v="0.05"/>
    <n v="4406.1000000000004"/>
    <n v="835.5"/>
  </r>
  <r>
    <n v="2323"/>
    <x v="323"/>
    <x v="6"/>
    <x v="0"/>
    <x v="2"/>
    <x v="0"/>
    <n v="12"/>
    <n v="260"/>
    <n v="0.05"/>
    <n v="2964"/>
    <n v="246.52"/>
  </r>
  <r>
    <n v="2324"/>
    <x v="324"/>
    <x v="7"/>
    <x v="1"/>
    <x v="1"/>
    <x v="2"/>
    <n v="35"/>
    <n v="7031"/>
    <n v="0.05"/>
    <n v="233780.75"/>
    <n v="46763.82"/>
  </r>
  <r>
    <n v="2325"/>
    <x v="325"/>
    <x v="6"/>
    <x v="1"/>
    <x v="4"/>
    <x v="1"/>
    <n v="27"/>
    <n v="6119"/>
    <n v="0"/>
    <n v="165213"/>
    <n v="22743.79"/>
  </r>
  <r>
    <n v="2326"/>
    <x v="326"/>
    <x v="6"/>
    <x v="1"/>
    <x v="4"/>
    <x v="1"/>
    <n v="1"/>
    <n v="5112"/>
    <n v="0.05"/>
    <n v="4856.3999999999996"/>
    <n v="636.38"/>
  </r>
  <r>
    <n v="2327"/>
    <x v="327"/>
    <x v="6"/>
    <x v="0"/>
    <x v="5"/>
    <x v="2"/>
    <n v="19"/>
    <n v="690"/>
    <n v="0.05"/>
    <n v="12454.5"/>
    <n v="1798.74"/>
  </r>
  <r>
    <n v="2328"/>
    <x v="328"/>
    <x v="4"/>
    <x v="0"/>
    <x v="2"/>
    <x v="2"/>
    <n v="6"/>
    <n v="273"/>
    <n v="0.05"/>
    <n v="1556.1"/>
    <n v="156.29"/>
  </r>
  <r>
    <n v="2329"/>
    <x v="329"/>
    <x v="4"/>
    <x v="3"/>
    <x v="7"/>
    <x v="1"/>
    <n v="19"/>
    <n v="23385"/>
    <n v="0.1"/>
    <n v="399883.5"/>
    <n v="54685.21"/>
  </r>
  <r>
    <n v="2330"/>
    <x v="330"/>
    <x v="2"/>
    <x v="2"/>
    <x v="6"/>
    <x v="2"/>
    <n v="10"/>
    <n v="130021"/>
    <n v="0.05"/>
    <n v="1235199.5"/>
    <n v="102551.07"/>
  </r>
  <r>
    <n v="2331"/>
    <x v="331"/>
    <x v="2"/>
    <x v="2"/>
    <x v="8"/>
    <x v="0"/>
    <n v="13"/>
    <n v="67728"/>
    <n v="0.05"/>
    <n v="836440.8"/>
    <n v="104223.44"/>
  </r>
  <r>
    <n v="2332"/>
    <x v="332"/>
    <x v="5"/>
    <x v="2"/>
    <x v="6"/>
    <x v="1"/>
    <n v="21"/>
    <n v="39053"/>
    <n v="0"/>
    <n v="820113"/>
    <n v="75160.38"/>
  </r>
  <r>
    <n v="2333"/>
    <x v="333"/>
    <x v="2"/>
    <x v="2"/>
    <x v="8"/>
    <x v="1"/>
    <n v="9"/>
    <n v="151962"/>
    <n v="0.1"/>
    <n v="1230892.2"/>
    <n v="215606.76"/>
  </r>
  <r>
    <n v="2334"/>
    <x v="334"/>
    <x v="6"/>
    <x v="3"/>
    <x v="10"/>
    <x v="0"/>
    <n v="27"/>
    <n v="60911"/>
    <n v="0.05"/>
    <n v="1562367.15"/>
    <n v="274236.25"/>
  </r>
  <r>
    <n v="2335"/>
    <x v="335"/>
    <x v="2"/>
    <x v="0"/>
    <x v="9"/>
    <x v="1"/>
    <n v="7"/>
    <n v="650"/>
    <n v="0"/>
    <n v="4550"/>
    <n v="798.87"/>
  </r>
  <r>
    <n v="2336"/>
    <x v="336"/>
    <x v="4"/>
    <x v="2"/>
    <x v="3"/>
    <x v="2"/>
    <n v="15"/>
    <n v="96571"/>
    <n v="0.1"/>
    <n v="1303708.5"/>
    <n v="266633.7"/>
  </r>
  <r>
    <n v="2337"/>
    <x v="337"/>
    <x v="1"/>
    <x v="2"/>
    <x v="8"/>
    <x v="0"/>
    <n v="7"/>
    <n v="57355"/>
    <n v="0"/>
    <n v="401485"/>
    <n v="56443.99"/>
  </r>
  <r>
    <n v="2338"/>
    <x v="338"/>
    <x v="1"/>
    <x v="3"/>
    <x v="7"/>
    <x v="2"/>
    <n v="36"/>
    <n v="79701"/>
    <n v="0.05"/>
    <n v="2725774.2"/>
    <n v="387695.59"/>
  </r>
  <r>
    <n v="2339"/>
    <x v="339"/>
    <x v="3"/>
    <x v="1"/>
    <x v="1"/>
    <x v="1"/>
    <n v="4"/>
    <n v="5074"/>
    <n v="0.05"/>
    <n v="19281.2"/>
    <n v="2679.04"/>
  </r>
  <r>
    <n v="2340"/>
    <x v="340"/>
    <x v="5"/>
    <x v="2"/>
    <x v="8"/>
    <x v="1"/>
    <n v="29"/>
    <n v="12278"/>
    <n v="0"/>
    <n v="356062"/>
    <n v="64301.45"/>
  </r>
  <r>
    <n v="2341"/>
    <x v="341"/>
    <x v="7"/>
    <x v="3"/>
    <x v="11"/>
    <x v="1"/>
    <n v="38"/>
    <n v="216274"/>
    <n v="0.05"/>
    <n v="7807491.4000000004"/>
    <n v="1596182.05"/>
  </r>
  <r>
    <n v="2342"/>
    <x v="342"/>
    <x v="2"/>
    <x v="2"/>
    <x v="6"/>
    <x v="0"/>
    <n v="39"/>
    <n v="115697"/>
    <n v="0.1"/>
    <n v="4060964.7"/>
    <n v="335800.7"/>
  </r>
  <r>
    <n v="2343"/>
    <x v="343"/>
    <x v="1"/>
    <x v="2"/>
    <x v="8"/>
    <x v="2"/>
    <n v="30"/>
    <n v="126982"/>
    <n v="0.1"/>
    <n v="3428514"/>
    <n v="700999.4"/>
  </r>
  <r>
    <n v="2344"/>
    <x v="344"/>
    <x v="4"/>
    <x v="3"/>
    <x v="10"/>
    <x v="0"/>
    <n v="26"/>
    <n v="37695"/>
    <n v="0.05"/>
    <n v="931066.5"/>
    <n v="92982.5"/>
  </r>
  <r>
    <n v="2345"/>
    <x v="345"/>
    <x v="3"/>
    <x v="3"/>
    <x v="7"/>
    <x v="0"/>
    <n v="10"/>
    <n v="249382"/>
    <n v="0"/>
    <n v="2493820"/>
    <n v="270343.21000000002"/>
  </r>
  <r>
    <n v="2346"/>
    <x v="346"/>
    <x v="7"/>
    <x v="2"/>
    <x v="3"/>
    <x v="2"/>
    <n v="25"/>
    <n v="57507"/>
    <n v="0.1"/>
    <n v="1293907.5"/>
    <n v="300743.81"/>
  </r>
  <r>
    <n v="2347"/>
    <x v="347"/>
    <x v="6"/>
    <x v="3"/>
    <x v="11"/>
    <x v="1"/>
    <n v="33"/>
    <n v="83639"/>
    <n v="0.05"/>
    <n v="2622082.65"/>
    <n v="580327"/>
  </r>
  <r>
    <n v="2348"/>
    <x v="348"/>
    <x v="3"/>
    <x v="0"/>
    <x v="9"/>
    <x v="1"/>
    <n v="5"/>
    <n v="632"/>
    <n v="0"/>
    <n v="3160"/>
    <n v="333.41"/>
  </r>
  <r>
    <n v="2349"/>
    <x v="349"/>
    <x v="3"/>
    <x v="2"/>
    <x v="8"/>
    <x v="0"/>
    <n v="12"/>
    <n v="107160"/>
    <n v="0.1"/>
    <n v="1157328"/>
    <n v="254005.15"/>
  </r>
  <r>
    <n v="2350"/>
    <x v="350"/>
    <x v="1"/>
    <x v="0"/>
    <x v="9"/>
    <x v="2"/>
    <n v="31"/>
    <n v="440"/>
    <n v="0"/>
    <n v="13640"/>
    <n v="3398.91"/>
  </r>
  <r>
    <n v="2351"/>
    <x v="351"/>
    <x v="7"/>
    <x v="1"/>
    <x v="4"/>
    <x v="0"/>
    <n v="34"/>
    <n v="5012"/>
    <n v="0"/>
    <n v="170408"/>
    <n v="35695.49"/>
  </r>
  <r>
    <n v="2352"/>
    <x v="352"/>
    <x v="0"/>
    <x v="2"/>
    <x v="8"/>
    <x v="1"/>
    <n v="12"/>
    <n v="120857"/>
    <n v="0.05"/>
    <n v="1377769.8"/>
    <n v="288298.34999999998"/>
  </r>
  <r>
    <n v="2353"/>
    <x v="353"/>
    <x v="2"/>
    <x v="2"/>
    <x v="8"/>
    <x v="1"/>
    <n v="29"/>
    <n v="117480"/>
    <n v="0.1"/>
    <n v="3066228"/>
    <n v="721728.31"/>
  </r>
  <r>
    <n v="2354"/>
    <x v="354"/>
    <x v="2"/>
    <x v="3"/>
    <x v="7"/>
    <x v="0"/>
    <n v="27"/>
    <n v="88130"/>
    <n v="0"/>
    <n v="2379510"/>
    <n v="357385.95"/>
  </r>
  <r>
    <n v="2355"/>
    <x v="355"/>
    <x v="2"/>
    <x v="2"/>
    <x v="8"/>
    <x v="2"/>
    <n v="5"/>
    <n v="97191"/>
    <n v="0.1"/>
    <n v="437359.5"/>
    <n v="55892.53"/>
  </r>
  <r>
    <n v="2356"/>
    <x v="356"/>
    <x v="0"/>
    <x v="1"/>
    <x v="1"/>
    <x v="2"/>
    <n v="6"/>
    <n v="6267"/>
    <n v="0.05"/>
    <n v="35721.9"/>
    <n v="8850.9599999999991"/>
  </r>
  <r>
    <n v="2357"/>
    <x v="357"/>
    <x v="2"/>
    <x v="1"/>
    <x v="1"/>
    <x v="2"/>
    <n v="20"/>
    <n v="7922"/>
    <n v="0.05"/>
    <n v="150518"/>
    <n v="15757.68"/>
  </r>
  <r>
    <n v="2358"/>
    <x v="358"/>
    <x v="3"/>
    <x v="3"/>
    <x v="11"/>
    <x v="2"/>
    <n v="31"/>
    <n v="115508"/>
    <n v="0.1"/>
    <n v="3222673.2"/>
    <n v="509633.9"/>
  </r>
  <r>
    <n v="2359"/>
    <x v="359"/>
    <x v="3"/>
    <x v="0"/>
    <x v="0"/>
    <x v="0"/>
    <n v="38"/>
    <n v="257"/>
    <n v="0"/>
    <n v="9766"/>
    <n v="1658.46"/>
  </r>
  <r>
    <n v="2360"/>
    <x v="360"/>
    <x v="4"/>
    <x v="1"/>
    <x v="4"/>
    <x v="0"/>
    <n v="20"/>
    <n v="5180"/>
    <n v="0.05"/>
    <n v="98420"/>
    <n v="13843.03"/>
  </r>
  <r>
    <n v="2361"/>
    <x v="361"/>
    <x v="1"/>
    <x v="2"/>
    <x v="6"/>
    <x v="0"/>
    <n v="10"/>
    <n v="68227"/>
    <n v="0.05"/>
    <n v="648156.5"/>
    <n v="54399.47"/>
  </r>
  <r>
    <n v="2362"/>
    <x v="362"/>
    <x v="2"/>
    <x v="1"/>
    <x v="4"/>
    <x v="0"/>
    <n v="2"/>
    <n v="4117"/>
    <n v="0.1"/>
    <n v="7410.6"/>
    <n v="1117.94"/>
  </r>
  <r>
    <n v="2363"/>
    <x v="363"/>
    <x v="6"/>
    <x v="0"/>
    <x v="0"/>
    <x v="1"/>
    <n v="34"/>
    <n v="457"/>
    <n v="0"/>
    <n v="15538"/>
    <n v="3447.33"/>
  </r>
  <r>
    <n v="2364"/>
    <x v="364"/>
    <x v="0"/>
    <x v="3"/>
    <x v="11"/>
    <x v="1"/>
    <n v="4"/>
    <n v="103421"/>
    <n v="0.05"/>
    <n v="392999.8"/>
    <n v="51450.81"/>
  </r>
  <r>
    <n v="2365"/>
    <x v="365"/>
    <x v="6"/>
    <x v="2"/>
    <x v="6"/>
    <x v="2"/>
    <n v="26"/>
    <n v="97455"/>
    <n v="0.1"/>
    <n v="2280447"/>
    <n v="240856.8"/>
  </r>
  <r>
    <n v="2366"/>
    <x v="366"/>
    <x v="6"/>
    <x v="1"/>
    <x v="4"/>
    <x v="1"/>
    <n v="30"/>
    <n v="5618"/>
    <n v="0"/>
    <n v="168540"/>
    <n v="19609.919999999998"/>
  </r>
  <r>
    <n v="2367"/>
    <x v="367"/>
    <x v="0"/>
    <x v="1"/>
    <x v="4"/>
    <x v="1"/>
    <n v="16"/>
    <n v="3651"/>
    <n v="0.05"/>
    <n v="55495.199999999997"/>
    <n v="11432.52"/>
  </r>
  <r>
    <n v="2368"/>
    <x v="368"/>
    <x v="1"/>
    <x v="3"/>
    <x v="7"/>
    <x v="2"/>
    <n v="25"/>
    <n v="249848"/>
    <n v="0"/>
    <n v="6246200"/>
    <n v="578280.30000000005"/>
  </r>
  <r>
    <n v="2369"/>
    <x v="369"/>
    <x v="1"/>
    <x v="3"/>
    <x v="7"/>
    <x v="1"/>
    <n v="14"/>
    <n v="228115"/>
    <n v="0.1"/>
    <n v="2874249"/>
    <n v="419681.56"/>
  </r>
  <r>
    <n v="2370"/>
    <x v="370"/>
    <x v="6"/>
    <x v="2"/>
    <x v="6"/>
    <x v="2"/>
    <n v="32"/>
    <n v="123387"/>
    <n v="0.05"/>
    <n v="3750964.8"/>
    <n v="918397.86"/>
  </r>
  <r>
    <n v="2371"/>
    <x v="371"/>
    <x v="5"/>
    <x v="2"/>
    <x v="3"/>
    <x v="0"/>
    <n v="36"/>
    <n v="39414"/>
    <n v="0"/>
    <n v="1418904"/>
    <n v="343050.57"/>
  </r>
  <r>
    <n v="2372"/>
    <x v="372"/>
    <x v="7"/>
    <x v="1"/>
    <x v="1"/>
    <x v="2"/>
    <n v="7"/>
    <n v="7048"/>
    <n v="0.1"/>
    <n v="44402.400000000001"/>
    <n v="7400.73"/>
  </r>
  <r>
    <n v="2373"/>
    <x v="373"/>
    <x v="3"/>
    <x v="2"/>
    <x v="3"/>
    <x v="2"/>
    <n v="15"/>
    <n v="151209"/>
    <n v="0.1"/>
    <n v="2041321.5"/>
    <n v="504588.91"/>
  </r>
  <r>
    <n v="2374"/>
    <x v="374"/>
    <x v="6"/>
    <x v="3"/>
    <x v="11"/>
    <x v="0"/>
    <n v="35"/>
    <n v="186130"/>
    <n v="0"/>
    <n v="6514550"/>
    <n v="1404381.92"/>
  </r>
  <r>
    <n v="2375"/>
    <x v="375"/>
    <x v="2"/>
    <x v="0"/>
    <x v="5"/>
    <x v="2"/>
    <n v="8"/>
    <n v="505"/>
    <n v="0.05"/>
    <n v="3838"/>
    <n v="679.52"/>
  </r>
  <r>
    <n v="2376"/>
    <x v="376"/>
    <x v="2"/>
    <x v="2"/>
    <x v="6"/>
    <x v="1"/>
    <n v="35"/>
    <n v="124337"/>
    <n v="0"/>
    <n v="4351795"/>
    <n v="699584.99"/>
  </r>
  <r>
    <n v="2377"/>
    <x v="377"/>
    <x v="2"/>
    <x v="1"/>
    <x v="4"/>
    <x v="2"/>
    <n v="29"/>
    <n v="3859"/>
    <n v="0.05"/>
    <n v="106315.45"/>
    <n v="13087.05"/>
  </r>
  <r>
    <n v="2378"/>
    <x v="378"/>
    <x v="4"/>
    <x v="2"/>
    <x v="3"/>
    <x v="1"/>
    <n v="13"/>
    <n v="34414"/>
    <n v="0"/>
    <n v="447382"/>
    <n v="66785.62"/>
  </r>
  <r>
    <n v="2379"/>
    <x v="379"/>
    <x v="3"/>
    <x v="1"/>
    <x v="1"/>
    <x v="1"/>
    <n v="4"/>
    <n v="7710"/>
    <n v="0.1"/>
    <n v="27756"/>
    <n v="2808.34"/>
  </r>
  <r>
    <n v="2380"/>
    <x v="380"/>
    <x v="3"/>
    <x v="2"/>
    <x v="3"/>
    <x v="0"/>
    <n v="11"/>
    <n v="95460"/>
    <n v="0.1"/>
    <n v="945054"/>
    <n v="192773.44"/>
  </r>
  <r>
    <n v="2381"/>
    <x v="381"/>
    <x v="5"/>
    <x v="3"/>
    <x v="10"/>
    <x v="1"/>
    <n v="25"/>
    <n v="48248"/>
    <n v="0.1"/>
    <n v="1085580"/>
    <n v="127308.03"/>
  </r>
  <r>
    <n v="2382"/>
    <x v="382"/>
    <x v="4"/>
    <x v="2"/>
    <x v="3"/>
    <x v="2"/>
    <n v="29"/>
    <n v="139197"/>
    <n v="0.1"/>
    <n v="3633041.7"/>
    <n v="499763.18"/>
  </r>
  <r>
    <n v="2383"/>
    <x v="383"/>
    <x v="0"/>
    <x v="2"/>
    <x v="8"/>
    <x v="1"/>
    <n v="10"/>
    <n v="42165"/>
    <n v="0"/>
    <n v="421650"/>
    <n v="52372.84"/>
  </r>
  <r>
    <n v="2384"/>
    <x v="384"/>
    <x v="0"/>
    <x v="3"/>
    <x v="11"/>
    <x v="2"/>
    <n v="8"/>
    <n v="170947"/>
    <n v="0"/>
    <n v="1367576"/>
    <n v="289266.81"/>
  </r>
  <r>
    <n v="2385"/>
    <x v="385"/>
    <x v="7"/>
    <x v="1"/>
    <x v="4"/>
    <x v="0"/>
    <n v="34"/>
    <n v="4002"/>
    <n v="0.05"/>
    <n v="129264.6"/>
    <n v="30124.16"/>
  </r>
  <r>
    <n v="2386"/>
    <x v="386"/>
    <x v="3"/>
    <x v="0"/>
    <x v="9"/>
    <x v="0"/>
    <n v="7"/>
    <n v="365"/>
    <n v="0.05"/>
    <n v="2427.25"/>
    <n v="476.4"/>
  </r>
  <r>
    <n v="2387"/>
    <x v="387"/>
    <x v="0"/>
    <x v="0"/>
    <x v="12"/>
    <x v="1"/>
    <n v="6"/>
    <n v="150"/>
    <n v="0"/>
    <n v="900"/>
    <n v="82.97"/>
  </r>
  <r>
    <n v="2388"/>
    <x v="388"/>
    <x v="3"/>
    <x v="0"/>
    <x v="5"/>
    <x v="0"/>
    <n v="20"/>
    <n v="479"/>
    <n v="0.1"/>
    <n v="8622"/>
    <n v="1043.43"/>
  </r>
  <r>
    <n v="2389"/>
    <x v="389"/>
    <x v="3"/>
    <x v="2"/>
    <x v="3"/>
    <x v="0"/>
    <n v="34"/>
    <n v="141656"/>
    <n v="0.05"/>
    <n v="4575488.8"/>
    <n v="1101188.72"/>
  </r>
  <r>
    <n v="2390"/>
    <x v="390"/>
    <x v="6"/>
    <x v="0"/>
    <x v="12"/>
    <x v="1"/>
    <n v="9"/>
    <n v="303"/>
    <n v="0.05"/>
    <n v="2590.65"/>
    <n v="348.87"/>
  </r>
  <r>
    <n v="2391"/>
    <x v="391"/>
    <x v="0"/>
    <x v="0"/>
    <x v="9"/>
    <x v="1"/>
    <n v="40"/>
    <n v="555"/>
    <n v="0.05"/>
    <n v="21090"/>
    <n v="1838.14"/>
  </r>
  <r>
    <n v="2392"/>
    <x v="392"/>
    <x v="1"/>
    <x v="2"/>
    <x v="8"/>
    <x v="2"/>
    <n v="34"/>
    <n v="106746"/>
    <n v="0.05"/>
    <n v="3447895.8"/>
    <n v="442135.79"/>
  </r>
  <r>
    <n v="2393"/>
    <x v="393"/>
    <x v="0"/>
    <x v="3"/>
    <x v="11"/>
    <x v="2"/>
    <n v="37"/>
    <n v="212088"/>
    <n v="0.05"/>
    <n v="7454893.2000000002"/>
    <n v="1769043.98"/>
  </r>
  <r>
    <n v="2394"/>
    <x v="394"/>
    <x v="1"/>
    <x v="2"/>
    <x v="6"/>
    <x v="2"/>
    <n v="3"/>
    <n v="61414"/>
    <n v="0"/>
    <n v="184242"/>
    <n v="31754.38"/>
  </r>
  <r>
    <n v="2395"/>
    <x v="395"/>
    <x v="4"/>
    <x v="1"/>
    <x v="1"/>
    <x v="2"/>
    <n v="16"/>
    <n v="4165"/>
    <n v="0.1"/>
    <n v="59976"/>
    <n v="9682.2900000000009"/>
  </r>
  <r>
    <n v="2396"/>
    <x v="396"/>
    <x v="1"/>
    <x v="0"/>
    <x v="9"/>
    <x v="1"/>
    <n v="14"/>
    <n v="417"/>
    <n v="0"/>
    <n v="5838"/>
    <n v="1118.99"/>
  </r>
  <r>
    <n v="2397"/>
    <x v="397"/>
    <x v="1"/>
    <x v="2"/>
    <x v="8"/>
    <x v="2"/>
    <n v="4"/>
    <n v="75235"/>
    <n v="0"/>
    <n v="300940"/>
    <n v="53991.040000000001"/>
  </r>
  <r>
    <n v="2398"/>
    <x v="398"/>
    <x v="4"/>
    <x v="2"/>
    <x v="3"/>
    <x v="1"/>
    <n v="37"/>
    <n v="142755"/>
    <n v="0"/>
    <n v="5281935"/>
    <n v="810374.02"/>
  </r>
  <r>
    <n v="2399"/>
    <x v="399"/>
    <x v="4"/>
    <x v="0"/>
    <x v="5"/>
    <x v="1"/>
    <n v="31"/>
    <n v="355"/>
    <n v="0.1"/>
    <n v="9904.5"/>
    <n v="1252.7"/>
  </r>
  <r>
    <n v="2400"/>
    <x v="400"/>
    <x v="1"/>
    <x v="1"/>
    <x v="4"/>
    <x v="0"/>
    <n v="25"/>
    <n v="6582"/>
    <n v="0"/>
    <n v="164550"/>
    <n v="33975.230000000003"/>
  </r>
  <r>
    <n v="2401"/>
    <x v="401"/>
    <x v="7"/>
    <x v="3"/>
    <x v="10"/>
    <x v="0"/>
    <n v="14"/>
    <n v="225694"/>
    <n v="0"/>
    <n v="3159716"/>
    <n v="729170.09"/>
  </r>
  <r>
    <n v="2402"/>
    <x v="402"/>
    <x v="5"/>
    <x v="3"/>
    <x v="10"/>
    <x v="2"/>
    <n v="34"/>
    <n v="194262"/>
    <n v="0.1"/>
    <n v="5944417.2000000002"/>
    <n v="779930.71"/>
  </r>
  <r>
    <n v="2403"/>
    <x v="403"/>
    <x v="6"/>
    <x v="0"/>
    <x v="2"/>
    <x v="2"/>
    <n v="32"/>
    <n v="286"/>
    <n v="0"/>
    <n v="9152"/>
    <n v="1641.8"/>
  </r>
  <r>
    <n v="2404"/>
    <x v="404"/>
    <x v="4"/>
    <x v="2"/>
    <x v="8"/>
    <x v="0"/>
    <n v="3"/>
    <n v="79238"/>
    <n v="0.1"/>
    <n v="213942.6"/>
    <n v="42460.53"/>
  </r>
  <r>
    <n v="2405"/>
    <x v="405"/>
    <x v="3"/>
    <x v="0"/>
    <x v="0"/>
    <x v="1"/>
    <n v="36"/>
    <n v="600"/>
    <n v="0"/>
    <n v="21600"/>
    <n v="4536.9799999999996"/>
  </r>
  <r>
    <n v="2406"/>
    <x v="406"/>
    <x v="2"/>
    <x v="0"/>
    <x v="0"/>
    <x v="0"/>
    <n v="28"/>
    <n v="451"/>
    <n v="0.1"/>
    <n v="11365.2"/>
    <n v="1759.33"/>
  </r>
  <r>
    <n v="2407"/>
    <x v="407"/>
    <x v="7"/>
    <x v="3"/>
    <x v="10"/>
    <x v="1"/>
    <n v="2"/>
    <n v="159007"/>
    <n v="0"/>
    <n v="318014"/>
    <n v="53448.4"/>
  </r>
  <r>
    <n v="2408"/>
    <x v="408"/>
    <x v="0"/>
    <x v="2"/>
    <x v="3"/>
    <x v="0"/>
    <n v="17"/>
    <n v="10074"/>
    <n v="0"/>
    <n v="171258"/>
    <n v="27239.49"/>
  </r>
  <r>
    <n v="2409"/>
    <x v="409"/>
    <x v="0"/>
    <x v="0"/>
    <x v="2"/>
    <x v="0"/>
    <n v="24"/>
    <n v="521"/>
    <n v="0.05"/>
    <n v="11878.8"/>
    <n v="2462.7199999999998"/>
  </r>
  <r>
    <n v="2410"/>
    <x v="410"/>
    <x v="1"/>
    <x v="2"/>
    <x v="6"/>
    <x v="2"/>
    <n v="34"/>
    <n v="47901"/>
    <n v="0.1"/>
    <n v="1465770.6"/>
    <n v="214544.02"/>
  </r>
  <r>
    <n v="2411"/>
    <x v="411"/>
    <x v="0"/>
    <x v="2"/>
    <x v="3"/>
    <x v="0"/>
    <n v="35"/>
    <n v="35104"/>
    <n v="0.1"/>
    <n v="1105776"/>
    <n v="215995.42"/>
  </r>
  <r>
    <n v="2412"/>
    <x v="412"/>
    <x v="0"/>
    <x v="1"/>
    <x v="1"/>
    <x v="0"/>
    <n v="17"/>
    <n v="3026"/>
    <n v="0.05"/>
    <n v="48869.9"/>
    <n v="4624.1400000000003"/>
  </r>
  <r>
    <n v="2413"/>
    <x v="413"/>
    <x v="5"/>
    <x v="1"/>
    <x v="1"/>
    <x v="1"/>
    <n v="1"/>
    <n v="7436"/>
    <n v="0"/>
    <n v="7436"/>
    <n v="921.73"/>
  </r>
  <r>
    <n v="2414"/>
    <x v="414"/>
    <x v="7"/>
    <x v="0"/>
    <x v="0"/>
    <x v="0"/>
    <n v="2"/>
    <n v="705"/>
    <n v="0.1"/>
    <n v="1269"/>
    <n v="287.14"/>
  </r>
  <r>
    <n v="2415"/>
    <x v="415"/>
    <x v="0"/>
    <x v="0"/>
    <x v="5"/>
    <x v="2"/>
    <n v="28"/>
    <n v="752"/>
    <n v="0.1"/>
    <n v="18950.400000000001"/>
    <n v="4574.8"/>
  </r>
  <r>
    <n v="2416"/>
    <x v="416"/>
    <x v="4"/>
    <x v="3"/>
    <x v="7"/>
    <x v="2"/>
    <n v="27"/>
    <n v="74393"/>
    <n v="0.1"/>
    <n v="1807749.9"/>
    <n v="323887.87"/>
  </r>
  <r>
    <n v="2417"/>
    <x v="417"/>
    <x v="0"/>
    <x v="1"/>
    <x v="4"/>
    <x v="0"/>
    <n v="26"/>
    <n v="7709"/>
    <n v="0.05"/>
    <n v="190412.3"/>
    <n v="26810.2"/>
  </r>
  <r>
    <n v="2418"/>
    <x v="418"/>
    <x v="4"/>
    <x v="0"/>
    <x v="9"/>
    <x v="1"/>
    <n v="12"/>
    <n v="800"/>
    <n v="0.1"/>
    <n v="8640"/>
    <n v="1405.32"/>
  </r>
  <r>
    <n v="2419"/>
    <x v="419"/>
    <x v="0"/>
    <x v="3"/>
    <x v="11"/>
    <x v="2"/>
    <n v="20"/>
    <n v="120405"/>
    <n v="0.1"/>
    <n v="2167290"/>
    <n v="433408.81"/>
  </r>
  <r>
    <n v="2420"/>
    <x v="420"/>
    <x v="5"/>
    <x v="0"/>
    <x v="0"/>
    <x v="2"/>
    <n v="39"/>
    <n v="672"/>
    <n v="0"/>
    <n v="26208"/>
    <n v="5286.1"/>
  </r>
  <r>
    <n v="2421"/>
    <x v="421"/>
    <x v="7"/>
    <x v="3"/>
    <x v="7"/>
    <x v="2"/>
    <n v="26"/>
    <n v="242785"/>
    <n v="0"/>
    <n v="6312410"/>
    <n v="1285062.6299999999"/>
  </r>
  <r>
    <n v="2422"/>
    <x v="422"/>
    <x v="1"/>
    <x v="0"/>
    <x v="0"/>
    <x v="1"/>
    <n v="37"/>
    <n v="379"/>
    <n v="0.1"/>
    <n v="12620.7"/>
    <n v="1197.19"/>
  </r>
  <r>
    <n v="2423"/>
    <x v="423"/>
    <x v="3"/>
    <x v="1"/>
    <x v="1"/>
    <x v="2"/>
    <n v="32"/>
    <n v="7381"/>
    <n v="0"/>
    <n v="236192"/>
    <n v="57882.06"/>
  </r>
  <r>
    <n v="2424"/>
    <x v="424"/>
    <x v="7"/>
    <x v="3"/>
    <x v="7"/>
    <x v="2"/>
    <n v="20"/>
    <n v="118474"/>
    <n v="0.05"/>
    <n v="2251006"/>
    <n v="294286.64"/>
  </r>
  <r>
    <n v="2425"/>
    <x v="425"/>
    <x v="5"/>
    <x v="2"/>
    <x v="8"/>
    <x v="2"/>
    <n v="16"/>
    <n v="122888"/>
    <n v="0.1"/>
    <n v="1769587.2"/>
    <n v="161675.73000000001"/>
  </r>
  <r>
    <n v="2426"/>
    <x v="426"/>
    <x v="1"/>
    <x v="1"/>
    <x v="4"/>
    <x v="1"/>
    <n v="18"/>
    <n v="3757"/>
    <n v="0.1"/>
    <n v="60863.4"/>
    <n v="10506.94"/>
  </r>
  <r>
    <n v="2427"/>
    <x v="427"/>
    <x v="6"/>
    <x v="3"/>
    <x v="7"/>
    <x v="2"/>
    <n v="14"/>
    <n v="122394"/>
    <n v="0"/>
    <n v="1713516"/>
    <n v="326599.58"/>
  </r>
  <r>
    <n v="2428"/>
    <x v="428"/>
    <x v="6"/>
    <x v="3"/>
    <x v="11"/>
    <x v="0"/>
    <n v="14"/>
    <n v="200262"/>
    <n v="0.05"/>
    <n v="2663484.6"/>
    <n v="465966.42"/>
  </r>
  <r>
    <n v="2429"/>
    <x v="429"/>
    <x v="5"/>
    <x v="3"/>
    <x v="10"/>
    <x v="1"/>
    <n v="36"/>
    <n v="219260"/>
    <n v="0.05"/>
    <n v="7498692"/>
    <n v="1099867.23"/>
  </r>
  <r>
    <n v="2430"/>
    <x v="430"/>
    <x v="2"/>
    <x v="2"/>
    <x v="3"/>
    <x v="1"/>
    <n v="34"/>
    <n v="144988"/>
    <n v="0.05"/>
    <n v="4683112.4000000004"/>
    <n v="1131184.6499999999"/>
  </r>
  <r>
    <n v="2431"/>
    <x v="431"/>
    <x v="5"/>
    <x v="0"/>
    <x v="5"/>
    <x v="0"/>
    <n v="25"/>
    <n v="622"/>
    <n v="0.05"/>
    <n v="14772.5"/>
    <n v="3192"/>
  </r>
  <r>
    <n v="2432"/>
    <x v="432"/>
    <x v="0"/>
    <x v="3"/>
    <x v="10"/>
    <x v="0"/>
    <n v="30"/>
    <n v="38907"/>
    <n v="0.05"/>
    <n v="1108849.5"/>
    <n v="238704.78"/>
  </r>
  <r>
    <n v="2433"/>
    <x v="433"/>
    <x v="7"/>
    <x v="3"/>
    <x v="7"/>
    <x v="1"/>
    <n v="39"/>
    <n v="98320"/>
    <n v="0.05"/>
    <n v="3642756"/>
    <n v="606202.54"/>
  </r>
  <r>
    <n v="2434"/>
    <x v="434"/>
    <x v="3"/>
    <x v="1"/>
    <x v="1"/>
    <x v="0"/>
    <n v="40"/>
    <n v="4697"/>
    <n v="0.05"/>
    <n v="178486"/>
    <n v="41314.230000000003"/>
  </r>
  <r>
    <n v="2435"/>
    <x v="435"/>
    <x v="5"/>
    <x v="0"/>
    <x v="0"/>
    <x v="2"/>
    <n v="24"/>
    <n v="176"/>
    <n v="0.1"/>
    <n v="3801.6"/>
    <n v="797.67"/>
  </r>
  <r>
    <n v="2436"/>
    <x v="436"/>
    <x v="4"/>
    <x v="1"/>
    <x v="4"/>
    <x v="2"/>
    <n v="36"/>
    <n v="3332"/>
    <n v="0"/>
    <n v="119952"/>
    <n v="15560.56"/>
  </r>
  <r>
    <n v="2437"/>
    <x v="437"/>
    <x v="5"/>
    <x v="0"/>
    <x v="12"/>
    <x v="0"/>
    <n v="40"/>
    <n v="362"/>
    <n v="0.05"/>
    <n v="13756"/>
    <n v="2162.88"/>
  </r>
  <r>
    <n v="2438"/>
    <x v="438"/>
    <x v="5"/>
    <x v="2"/>
    <x v="6"/>
    <x v="1"/>
    <n v="17"/>
    <n v="49901"/>
    <n v="0"/>
    <n v="848317"/>
    <n v="81855.83"/>
  </r>
  <r>
    <n v="2439"/>
    <x v="439"/>
    <x v="2"/>
    <x v="1"/>
    <x v="4"/>
    <x v="0"/>
    <n v="7"/>
    <n v="6315"/>
    <n v="0"/>
    <n v="44205"/>
    <n v="7876.64"/>
  </r>
  <r>
    <n v="2440"/>
    <x v="440"/>
    <x v="4"/>
    <x v="1"/>
    <x v="1"/>
    <x v="0"/>
    <n v="22"/>
    <n v="7590"/>
    <n v="0"/>
    <n v="166980"/>
    <n v="23335.46"/>
  </r>
  <r>
    <n v="2441"/>
    <x v="441"/>
    <x v="3"/>
    <x v="3"/>
    <x v="7"/>
    <x v="2"/>
    <n v="18"/>
    <n v="35648"/>
    <n v="0.05"/>
    <n v="609580.80000000005"/>
    <n v="100358.3"/>
  </r>
  <r>
    <n v="2442"/>
    <x v="442"/>
    <x v="3"/>
    <x v="2"/>
    <x v="3"/>
    <x v="0"/>
    <n v="14"/>
    <n v="79860"/>
    <n v="0"/>
    <n v="1118040"/>
    <n v="218310.48"/>
  </r>
  <r>
    <n v="2443"/>
    <x v="443"/>
    <x v="1"/>
    <x v="0"/>
    <x v="9"/>
    <x v="0"/>
    <n v="26"/>
    <n v="429"/>
    <n v="0.1"/>
    <n v="10038.6"/>
    <n v="1730.66"/>
  </r>
  <r>
    <n v="2444"/>
    <x v="444"/>
    <x v="1"/>
    <x v="2"/>
    <x v="3"/>
    <x v="0"/>
    <n v="32"/>
    <n v="119061"/>
    <n v="0.1"/>
    <n v="3428956.8"/>
    <n v="676590.36"/>
  </r>
  <r>
    <n v="2445"/>
    <x v="445"/>
    <x v="5"/>
    <x v="3"/>
    <x v="7"/>
    <x v="2"/>
    <n v="16"/>
    <n v="22723"/>
    <n v="0.05"/>
    <n v="345389.6"/>
    <n v="30502.44"/>
  </r>
  <r>
    <n v="2446"/>
    <x v="446"/>
    <x v="5"/>
    <x v="2"/>
    <x v="6"/>
    <x v="0"/>
    <n v="4"/>
    <n v="103904"/>
    <n v="0.1"/>
    <n v="374054.40000000002"/>
    <n v="48807.28"/>
  </r>
  <r>
    <n v="2447"/>
    <x v="447"/>
    <x v="3"/>
    <x v="1"/>
    <x v="1"/>
    <x v="2"/>
    <n v="22"/>
    <n v="5006"/>
    <n v="0.05"/>
    <n v="104625.4"/>
    <n v="11444.76"/>
  </r>
  <r>
    <n v="2448"/>
    <x v="448"/>
    <x v="5"/>
    <x v="0"/>
    <x v="0"/>
    <x v="1"/>
    <n v="35"/>
    <n v="633"/>
    <n v="0.05"/>
    <n v="21047.25"/>
    <n v="4835.32"/>
  </r>
  <r>
    <n v="2449"/>
    <x v="449"/>
    <x v="3"/>
    <x v="2"/>
    <x v="8"/>
    <x v="1"/>
    <n v="31"/>
    <n v="142585"/>
    <n v="0.05"/>
    <n v="4199128.25"/>
    <n v="794066.82"/>
  </r>
  <r>
    <n v="2450"/>
    <x v="450"/>
    <x v="6"/>
    <x v="3"/>
    <x v="7"/>
    <x v="2"/>
    <n v="13"/>
    <n v="63877"/>
    <n v="0.05"/>
    <n v="788880.95"/>
    <n v="66335.460000000006"/>
  </r>
  <r>
    <n v="2451"/>
    <x v="451"/>
    <x v="6"/>
    <x v="3"/>
    <x v="7"/>
    <x v="1"/>
    <n v="21"/>
    <n v="194633"/>
    <n v="0"/>
    <n v="4087293"/>
    <n v="958560.92"/>
  </r>
  <r>
    <n v="2452"/>
    <x v="452"/>
    <x v="0"/>
    <x v="0"/>
    <x v="0"/>
    <x v="0"/>
    <n v="10"/>
    <n v="202"/>
    <n v="0"/>
    <n v="2020"/>
    <n v="385.97"/>
  </r>
  <r>
    <n v="2453"/>
    <x v="453"/>
    <x v="4"/>
    <x v="2"/>
    <x v="3"/>
    <x v="2"/>
    <n v="39"/>
    <n v="69229"/>
    <n v="0.1"/>
    <n v="2429937.9"/>
    <n v="529484.71"/>
  </r>
  <r>
    <n v="2454"/>
    <x v="454"/>
    <x v="6"/>
    <x v="1"/>
    <x v="4"/>
    <x v="0"/>
    <n v="34"/>
    <n v="7480"/>
    <n v="0"/>
    <n v="254320"/>
    <n v="30398.58"/>
  </r>
  <r>
    <n v="2455"/>
    <x v="455"/>
    <x v="6"/>
    <x v="3"/>
    <x v="11"/>
    <x v="0"/>
    <n v="37"/>
    <n v="176999"/>
    <n v="0.1"/>
    <n v="5894066.7000000002"/>
    <n v="1422948.89"/>
  </r>
  <r>
    <n v="2456"/>
    <x v="456"/>
    <x v="0"/>
    <x v="0"/>
    <x v="12"/>
    <x v="1"/>
    <n v="20"/>
    <n v="642"/>
    <n v="0"/>
    <n v="12840"/>
    <n v="1453.22"/>
  </r>
  <r>
    <n v="2457"/>
    <x v="457"/>
    <x v="6"/>
    <x v="1"/>
    <x v="4"/>
    <x v="2"/>
    <n v="26"/>
    <n v="5732"/>
    <n v="0"/>
    <n v="149032"/>
    <n v="19871.32"/>
  </r>
  <r>
    <n v="2458"/>
    <x v="458"/>
    <x v="6"/>
    <x v="2"/>
    <x v="3"/>
    <x v="0"/>
    <n v="15"/>
    <n v="98390"/>
    <n v="0.1"/>
    <n v="1328265"/>
    <n v="181961.68"/>
  </r>
  <r>
    <n v="2459"/>
    <x v="459"/>
    <x v="5"/>
    <x v="1"/>
    <x v="1"/>
    <x v="0"/>
    <n v="38"/>
    <n v="4098"/>
    <n v="0.05"/>
    <n v="147937.79999999999"/>
    <n v="35053.78"/>
  </r>
  <r>
    <n v="2460"/>
    <x v="460"/>
    <x v="2"/>
    <x v="2"/>
    <x v="8"/>
    <x v="0"/>
    <n v="9"/>
    <n v="111122"/>
    <n v="0.05"/>
    <n v="950093.1"/>
    <n v="215752.85"/>
  </r>
  <r>
    <n v="2461"/>
    <x v="461"/>
    <x v="4"/>
    <x v="3"/>
    <x v="7"/>
    <x v="0"/>
    <n v="3"/>
    <n v="60092"/>
    <n v="0.1"/>
    <n v="162248.4"/>
    <n v="14664.13"/>
  </r>
  <r>
    <n v="2462"/>
    <x v="462"/>
    <x v="3"/>
    <x v="1"/>
    <x v="4"/>
    <x v="0"/>
    <n v="36"/>
    <n v="6676"/>
    <n v="0.1"/>
    <n v="216302.4"/>
    <n v="51085.56"/>
  </r>
  <r>
    <n v="2463"/>
    <x v="463"/>
    <x v="6"/>
    <x v="1"/>
    <x v="1"/>
    <x v="0"/>
    <n v="22"/>
    <n v="4010"/>
    <n v="0"/>
    <n v="88220"/>
    <n v="17665.07"/>
  </r>
  <r>
    <n v="2464"/>
    <x v="464"/>
    <x v="2"/>
    <x v="1"/>
    <x v="1"/>
    <x v="0"/>
    <n v="1"/>
    <n v="5190"/>
    <n v="0"/>
    <n v="5190"/>
    <n v="934.23"/>
  </r>
  <r>
    <n v="2465"/>
    <x v="465"/>
    <x v="3"/>
    <x v="1"/>
    <x v="1"/>
    <x v="2"/>
    <n v="31"/>
    <n v="7347"/>
    <n v="0.05"/>
    <n v="216369.15"/>
    <n v="45879.21"/>
  </r>
  <r>
    <n v="2466"/>
    <x v="466"/>
    <x v="2"/>
    <x v="0"/>
    <x v="5"/>
    <x v="1"/>
    <n v="11"/>
    <n v="626"/>
    <n v="0.1"/>
    <n v="6197.4"/>
    <n v="743.93"/>
  </r>
  <r>
    <n v="2467"/>
    <x v="467"/>
    <x v="5"/>
    <x v="1"/>
    <x v="1"/>
    <x v="2"/>
    <n v="27"/>
    <n v="7085"/>
    <n v="0.05"/>
    <n v="181730.25"/>
    <n v="35998.480000000003"/>
  </r>
  <r>
    <n v="2468"/>
    <x v="468"/>
    <x v="6"/>
    <x v="1"/>
    <x v="4"/>
    <x v="0"/>
    <n v="39"/>
    <n v="7263"/>
    <n v="0.05"/>
    <n v="269094.15000000002"/>
    <n v="57529.01"/>
  </r>
  <r>
    <n v="2469"/>
    <x v="469"/>
    <x v="0"/>
    <x v="3"/>
    <x v="10"/>
    <x v="0"/>
    <n v="31"/>
    <n v="122716"/>
    <n v="0"/>
    <n v="3804196"/>
    <n v="710185.44"/>
  </r>
  <r>
    <n v="2470"/>
    <x v="470"/>
    <x v="6"/>
    <x v="3"/>
    <x v="11"/>
    <x v="0"/>
    <n v="14"/>
    <n v="99263"/>
    <n v="0.1"/>
    <n v="1250713.8"/>
    <n v="243325.66"/>
  </r>
  <r>
    <n v="2471"/>
    <x v="471"/>
    <x v="5"/>
    <x v="0"/>
    <x v="0"/>
    <x v="0"/>
    <n v="7"/>
    <n v="544"/>
    <n v="0.05"/>
    <n v="3617.6"/>
    <n v="767.02"/>
  </r>
  <r>
    <n v="2472"/>
    <x v="472"/>
    <x v="6"/>
    <x v="2"/>
    <x v="6"/>
    <x v="2"/>
    <n v="13"/>
    <n v="32441"/>
    <n v="0.1"/>
    <n v="379559.7"/>
    <n v="70526.61"/>
  </r>
  <r>
    <n v="2473"/>
    <x v="473"/>
    <x v="5"/>
    <x v="0"/>
    <x v="9"/>
    <x v="0"/>
    <n v="16"/>
    <n v="697"/>
    <n v="0.1"/>
    <n v="10036.799999999999"/>
    <n v="1136"/>
  </r>
  <r>
    <n v="2474"/>
    <x v="474"/>
    <x v="7"/>
    <x v="2"/>
    <x v="6"/>
    <x v="2"/>
    <n v="7"/>
    <n v="84021"/>
    <n v="0"/>
    <n v="588147"/>
    <n v="131164.20000000001"/>
  </r>
  <r>
    <n v="2475"/>
    <x v="475"/>
    <x v="4"/>
    <x v="3"/>
    <x v="10"/>
    <x v="2"/>
    <n v="11"/>
    <n v="133785"/>
    <n v="0"/>
    <n v="1471635"/>
    <n v="121809.12"/>
  </r>
  <r>
    <n v="2476"/>
    <x v="476"/>
    <x v="7"/>
    <x v="0"/>
    <x v="12"/>
    <x v="0"/>
    <n v="20"/>
    <n v="447"/>
    <n v="0"/>
    <n v="8940"/>
    <n v="880.09"/>
  </r>
  <r>
    <n v="2477"/>
    <x v="477"/>
    <x v="6"/>
    <x v="1"/>
    <x v="4"/>
    <x v="0"/>
    <n v="9"/>
    <n v="6049"/>
    <n v="0.1"/>
    <n v="48996.9"/>
    <n v="11412.61"/>
  </r>
  <r>
    <n v="2478"/>
    <x v="478"/>
    <x v="5"/>
    <x v="1"/>
    <x v="1"/>
    <x v="0"/>
    <n v="30"/>
    <n v="7100"/>
    <n v="0.05"/>
    <n v="202350"/>
    <n v="46171.040000000001"/>
  </r>
  <r>
    <n v="2479"/>
    <x v="479"/>
    <x v="3"/>
    <x v="2"/>
    <x v="6"/>
    <x v="1"/>
    <n v="39"/>
    <n v="80687"/>
    <n v="0.05"/>
    <n v="2989453.35"/>
    <n v="462489.08"/>
  </r>
  <r>
    <n v="2480"/>
    <x v="480"/>
    <x v="2"/>
    <x v="3"/>
    <x v="11"/>
    <x v="2"/>
    <n v="6"/>
    <n v="127526"/>
    <n v="0.05"/>
    <n v="726898.2"/>
    <n v="81554.59"/>
  </r>
  <r>
    <n v="2481"/>
    <x v="481"/>
    <x v="6"/>
    <x v="2"/>
    <x v="3"/>
    <x v="2"/>
    <n v="26"/>
    <n v="79300"/>
    <n v="0.05"/>
    <n v="1958710"/>
    <n v="318503.01"/>
  </r>
  <r>
    <n v="2482"/>
    <x v="482"/>
    <x v="6"/>
    <x v="3"/>
    <x v="10"/>
    <x v="2"/>
    <n v="10"/>
    <n v="106372"/>
    <n v="0"/>
    <n v="1063720"/>
    <n v="244354.23"/>
  </r>
  <r>
    <n v="2483"/>
    <x v="483"/>
    <x v="0"/>
    <x v="1"/>
    <x v="1"/>
    <x v="1"/>
    <n v="22"/>
    <n v="7356"/>
    <n v="0.1"/>
    <n v="145648.79999999999"/>
    <n v="22340.9"/>
  </r>
  <r>
    <n v="2484"/>
    <x v="484"/>
    <x v="0"/>
    <x v="2"/>
    <x v="8"/>
    <x v="0"/>
    <n v="1"/>
    <n v="53147"/>
    <n v="0.05"/>
    <n v="50489.65"/>
    <n v="6108.69"/>
  </r>
  <r>
    <n v="2485"/>
    <x v="485"/>
    <x v="5"/>
    <x v="0"/>
    <x v="2"/>
    <x v="1"/>
    <n v="17"/>
    <n v="533"/>
    <n v="0.1"/>
    <n v="8154.9"/>
    <n v="1118.6400000000001"/>
  </r>
  <r>
    <n v="2486"/>
    <x v="486"/>
    <x v="4"/>
    <x v="3"/>
    <x v="11"/>
    <x v="0"/>
    <n v="18"/>
    <n v="184806"/>
    <n v="0"/>
    <n v="3326508"/>
    <n v="658737.74"/>
  </r>
  <r>
    <n v="2487"/>
    <x v="487"/>
    <x v="6"/>
    <x v="2"/>
    <x v="8"/>
    <x v="0"/>
    <n v="31"/>
    <n v="56730"/>
    <n v="0.05"/>
    <n v="1670698.5"/>
    <n v="398482.74"/>
  </r>
  <r>
    <n v="2488"/>
    <x v="488"/>
    <x v="7"/>
    <x v="2"/>
    <x v="3"/>
    <x v="0"/>
    <n v="22"/>
    <n v="48982"/>
    <n v="0.1"/>
    <n v="969843.6"/>
    <n v="162787.49"/>
  </r>
  <r>
    <n v="2489"/>
    <x v="489"/>
    <x v="2"/>
    <x v="1"/>
    <x v="1"/>
    <x v="1"/>
    <n v="2"/>
    <n v="4162"/>
    <n v="0"/>
    <n v="8324"/>
    <n v="1121.44"/>
  </r>
  <r>
    <n v="2490"/>
    <x v="490"/>
    <x v="7"/>
    <x v="2"/>
    <x v="8"/>
    <x v="2"/>
    <n v="39"/>
    <n v="87919"/>
    <n v="0.05"/>
    <n v="3257398.95"/>
    <n v="608978.80000000005"/>
  </r>
  <r>
    <n v="2491"/>
    <x v="491"/>
    <x v="1"/>
    <x v="2"/>
    <x v="6"/>
    <x v="0"/>
    <n v="9"/>
    <n v="17965"/>
    <n v="0.05"/>
    <n v="153600.75"/>
    <n v="27628.11"/>
  </r>
  <r>
    <n v="2492"/>
    <x v="492"/>
    <x v="4"/>
    <x v="2"/>
    <x v="3"/>
    <x v="2"/>
    <n v="28"/>
    <n v="49306"/>
    <n v="0.1"/>
    <n v="1242511.2"/>
    <n v="254507.06"/>
  </r>
  <r>
    <n v="2493"/>
    <x v="493"/>
    <x v="3"/>
    <x v="0"/>
    <x v="2"/>
    <x v="1"/>
    <n v="2"/>
    <n v="503"/>
    <n v="0.1"/>
    <n v="905.4"/>
    <n v="210.98"/>
  </r>
  <r>
    <n v="2494"/>
    <x v="494"/>
    <x v="7"/>
    <x v="0"/>
    <x v="12"/>
    <x v="2"/>
    <n v="7"/>
    <n v="728"/>
    <n v="0"/>
    <n v="5096"/>
    <n v="941.35"/>
  </r>
  <r>
    <n v="2495"/>
    <x v="495"/>
    <x v="7"/>
    <x v="2"/>
    <x v="6"/>
    <x v="0"/>
    <n v="27"/>
    <n v="135058"/>
    <n v="0"/>
    <n v="3646566"/>
    <n v="574021.80000000005"/>
  </r>
  <r>
    <n v="2496"/>
    <x v="496"/>
    <x v="5"/>
    <x v="0"/>
    <x v="5"/>
    <x v="1"/>
    <n v="19"/>
    <n v="487"/>
    <n v="0.05"/>
    <n v="8790.35"/>
    <n v="1793.05"/>
  </r>
  <r>
    <n v="2497"/>
    <x v="497"/>
    <x v="1"/>
    <x v="1"/>
    <x v="4"/>
    <x v="2"/>
    <n v="7"/>
    <n v="3623"/>
    <n v="0.05"/>
    <n v="24092.95"/>
    <n v="5423.54"/>
  </r>
  <r>
    <n v="2498"/>
    <x v="498"/>
    <x v="3"/>
    <x v="1"/>
    <x v="1"/>
    <x v="2"/>
    <n v="36"/>
    <n v="4228"/>
    <n v="0.05"/>
    <n v="144597.6"/>
    <n v="27259.11"/>
  </r>
  <r>
    <n v="2499"/>
    <x v="499"/>
    <x v="7"/>
    <x v="1"/>
    <x v="1"/>
    <x v="0"/>
    <n v="23"/>
    <n v="6877"/>
    <n v="0.05"/>
    <n v="150262.45000000001"/>
    <n v="19783.06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602770-5606-7B45-9910-3413E980411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23" firstHeaderRow="1" firstDataRow="1" firstDataCol="1"/>
  <pivotFields count="13">
    <pivotField showAll="0"/>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9">
        <item x="2"/>
        <item x="3"/>
        <item x="0"/>
        <item x="4"/>
        <item x="1"/>
        <item x="5"/>
        <item x="6"/>
        <item x="7"/>
        <item t="default"/>
      </items>
    </pivotField>
    <pivotField showAll="0">
      <items count="5">
        <item x="1"/>
        <item x="3"/>
        <item x="2"/>
        <item x="0"/>
        <item t="default"/>
      </items>
    </pivotField>
    <pivotField showAll="0">
      <items count="14">
        <item x="10"/>
        <item x="12"/>
        <item x="3"/>
        <item x="11"/>
        <item x="4"/>
        <item x="7"/>
        <item x="0"/>
        <item x="2"/>
        <item x="8"/>
        <item x="5"/>
        <item x="6"/>
        <item x="9"/>
        <item x="1"/>
        <item t="default"/>
      </items>
    </pivotField>
    <pivotField showAll="0">
      <items count="4">
        <item x="2"/>
        <item x="1"/>
        <item x="0"/>
        <item t="default"/>
      </items>
    </pivotField>
    <pivotField showAll="0"/>
    <pivotField showAll="0"/>
    <pivotField showAll="0"/>
    <pivotField dataField="1"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2"/>
    <field x="11"/>
  </rowFields>
  <rowItems count="20">
    <i>
      <x v="1"/>
    </i>
    <i r="1">
      <x v="1"/>
    </i>
    <i r="1">
      <x v="2"/>
    </i>
    <i r="1">
      <x v="3"/>
    </i>
    <i r="1">
      <x v="4"/>
    </i>
    <i r="1">
      <x v="5"/>
    </i>
    <i r="1">
      <x v="6"/>
    </i>
    <i r="1">
      <x v="7"/>
    </i>
    <i r="1">
      <x v="8"/>
    </i>
    <i r="1">
      <x v="9"/>
    </i>
    <i r="1">
      <x v="10"/>
    </i>
    <i r="1">
      <x v="11"/>
    </i>
    <i r="1">
      <x v="12"/>
    </i>
    <i>
      <x v="2"/>
    </i>
    <i r="1">
      <x v="1"/>
    </i>
    <i r="1">
      <x v="2"/>
    </i>
    <i r="1">
      <x v="3"/>
    </i>
    <i r="1">
      <x v="4"/>
    </i>
    <i r="1">
      <x v="5"/>
    </i>
    <i t="grand">
      <x/>
    </i>
  </rowItems>
  <colItems count="1">
    <i/>
  </colItems>
  <dataFields count="1">
    <dataField name="Sum of TotalSales" fld="9" baseField="0" baseItem="0"/>
  </dataFields>
  <chartFormats count="2">
    <chartFormat chart="2"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CDA6A8-8ECE-8144-A817-8CC1C974756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8" firstHeaderRow="1" firstDataRow="1" firstDataCol="1"/>
  <pivotFields count="13">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9">
        <item x="2"/>
        <item x="3"/>
        <item x="0"/>
        <item x="4"/>
        <item x="1"/>
        <item x="5"/>
        <item x="6"/>
        <item x="7"/>
        <item t="default"/>
      </items>
    </pivotField>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items count="14">
        <item x="10"/>
        <item x="12"/>
        <item x="3"/>
        <item x="11"/>
        <item x="4"/>
        <item x="7"/>
        <item x="0"/>
        <item x="2"/>
        <item x="8"/>
        <item x="5"/>
        <item x="6"/>
        <item x="9"/>
        <item x="1"/>
        <item t="default"/>
      </items>
    </pivotField>
    <pivotField showAll="0">
      <items count="4">
        <item x="2"/>
        <item x="1"/>
        <item x="0"/>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5">
    <i>
      <x v="1"/>
    </i>
    <i>
      <x v="2"/>
    </i>
    <i>
      <x/>
    </i>
    <i>
      <x v="3"/>
    </i>
    <i t="grand">
      <x/>
    </i>
  </rowItems>
  <colItems count="1">
    <i/>
  </colItems>
  <dataFields count="1">
    <dataField name="Sum of TotalSales" fld="9"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D9B309-95A2-8740-B351-5E9467582CD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12" firstHeaderRow="1" firstDataRow="1" firstDataCol="1"/>
  <pivotFields count="13">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axis="axisRow" showAll="0" sortType="descending">
      <items count="9">
        <item x="7"/>
        <item x="6"/>
        <item x="5"/>
        <item x="1"/>
        <item x="4"/>
        <item x="0"/>
        <item x="3"/>
        <item x="2"/>
        <item t="default"/>
      </items>
      <autoSortScope>
        <pivotArea dataOnly="0" outline="0" fieldPosition="0">
          <references count="1">
            <reference field="4294967294" count="1" selected="0">
              <x v="0"/>
            </reference>
          </references>
        </pivotArea>
      </autoSortScope>
    </pivotField>
    <pivotField showAll="0">
      <items count="5">
        <item x="1"/>
        <item x="3"/>
        <item x="2"/>
        <item x="0"/>
        <item t="default"/>
      </items>
    </pivotField>
    <pivotField showAll="0">
      <items count="14">
        <item x="10"/>
        <item x="12"/>
        <item x="3"/>
        <item x="11"/>
        <item x="4"/>
        <item x="7"/>
        <item x="0"/>
        <item x="2"/>
        <item x="8"/>
        <item x="5"/>
        <item x="6"/>
        <item x="9"/>
        <item x="1"/>
        <item t="default"/>
      </items>
    </pivotField>
    <pivotField showAll="0">
      <items count="4">
        <item x="2"/>
        <item x="1"/>
        <item x="0"/>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2"/>
  </rowFields>
  <rowItems count="9">
    <i>
      <x v="1"/>
    </i>
    <i>
      <x v="6"/>
    </i>
    <i>
      <x v="7"/>
    </i>
    <i>
      <x v="2"/>
    </i>
    <i>
      <x v="5"/>
    </i>
    <i>
      <x v="4"/>
    </i>
    <i>
      <x/>
    </i>
    <i>
      <x v="3"/>
    </i>
    <i t="grand">
      <x/>
    </i>
  </rowItems>
  <colItems count="1">
    <i/>
  </colItems>
  <dataFields count="1">
    <dataField name="Sum of TotalSales" fld="9" baseField="0" baseItem="0"/>
  </dataFields>
  <chartFormats count="2">
    <chartFormat chart="1"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4D3DB9-6513-7D4B-978F-96FF10F6762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7" firstHeaderRow="1" firstDataRow="1" firstDataCol="1"/>
  <pivotFields count="13">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9">
        <item x="2"/>
        <item x="3"/>
        <item x="0"/>
        <item x="4"/>
        <item x="1"/>
        <item x="5"/>
        <item x="6"/>
        <item x="7"/>
        <item t="default"/>
      </items>
    </pivotField>
    <pivotField showAll="0">
      <items count="5">
        <item x="1"/>
        <item x="3"/>
        <item x="2"/>
        <item x="0"/>
        <item t="default"/>
      </items>
    </pivotField>
    <pivotField axis="axisRow" showAll="0" sortType="descending">
      <items count="14">
        <item x="10"/>
        <item x="12"/>
        <item x="3"/>
        <item x="11"/>
        <item x="4"/>
        <item x="7"/>
        <item x="0"/>
        <item x="2"/>
        <item x="8"/>
        <item x="5"/>
        <item x="6"/>
        <item x="9"/>
        <item x="1"/>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4"/>
  </rowFields>
  <rowItems count="14">
    <i>
      <x v="3"/>
    </i>
    <i>
      <x v="5"/>
    </i>
    <i>
      <x v="2"/>
    </i>
    <i>
      <x/>
    </i>
    <i>
      <x v="8"/>
    </i>
    <i>
      <x v="10"/>
    </i>
    <i>
      <x v="12"/>
    </i>
    <i>
      <x v="4"/>
    </i>
    <i>
      <x v="7"/>
    </i>
    <i>
      <x v="6"/>
    </i>
    <i>
      <x v="11"/>
    </i>
    <i>
      <x v="9"/>
    </i>
    <i>
      <x v="1"/>
    </i>
    <i t="grand">
      <x/>
    </i>
  </rowItems>
  <colItems count="1">
    <i/>
  </colItems>
  <dataFields count="1">
    <dataField name="Sum of TotalSales" fld="9"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6700C1-76E4-B043-A1D0-09A2F5E9DB0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3">
    <pivotField dataField="1"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9">
        <item x="2"/>
        <item x="3"/>
        <item x="0"/>
        <item x="4"/>
        <item x="1"/>
        <item x="5"/>
        <item x="6"/>
        <item x="7"/>
        <item t="default"/>
      </items>
    </pivotField>
    <pivotField showAll="0">
      <items count="5">
        <item x="1"/>
        <item x="3"/>
        <item x="2"/>
        <item x="0"/>
        <item t="default"/>
      </items>
    </pivotField>
    <pivotField showAll="0">
      <items count="14">
        <item x="10"/>
        <item x="12"/>
        <item x="3"/>
        <item x="11"/>
        <item x="4"/>
        <item x="7"/>
        <item x="0"/>
        <item x="2"/>
        <item x="8"/>
        <item x="5"/>
        <item x="6"/>
        <item x="9"/>
        <item x="1"/>
        <item t="default"/>
      </items>
    </pivotField>
    <pivotField showAll="0">
      <items count="4">
        <item x="2"/>
        <item x="1"/>
        <item x="0"/>
        <item t="default"/>
      </items>
    </pivotField>
    <pivotField showAll="0"/>
    <pivotField showAll="0"/>
    <pivotField showAll="0"/>
    <pivotField dataField="1" showAll="0"/>
    <pivotField dataField="1" showAll="0"/>
    <pivotField showAll="0" defaultSubtotal="0">
      <items count="14">
        <item x="0"/>
        <item x="1"/>
        <item x="2"/>
        <item x="3"/>
        <item x="4"/>
        <item x="5"/>
        <item x="6"/>
        <item x="7"/>
        <item x="8"/>
        <item x="9"/>
        <item x="10"/>
        <item x="11"/>
        <item x="12"/>
        <item x="13"/>
      </items>
    </pivotField>
    <pivotField showAll="0" defaultSubtotal="0">
      <items count="4">
        <item x="0"/>
        <item x="1"/>
        <item x="2"/>
        <item x="3"/>
      </items>
    </pivotField>
  </pivotFields>
  <rowItems count="1">
    <i/>
  </rowItems>
  <colFields count="1">
    <field x="-2"/>
  </colFields>
  <colItems count="3">
    <i>
      <x/>
    </i>
    <i i="1">
      <x v="1"/>
    </i>
    <i i="2">
      <x v="2"/>
    </i>
  </colItems>
  <dataFields count="3">
    <dataField name="Sum of TotalSales" fld="9" baseField="0" baseItem="0" numFmtId="164"/>
    <dataField name="Sum of Profit" fld="10" baseField="0" baseItem="0" numFmtId="164"/>
    <dataField name="Count of OrderID" fld="0" subtotal="count" baseField="0" baseItem="0"/>
  </dataFields>
  <formats count="3">
    <format dxfId="24">
      <pivotArea outline="0" collapsedLevelsAreSubtotals="1" fieldPosition="0">
        <references count="1">
          <reference field="4294967294" count="1" selected="0">
            <x v="0"/>
          </reference>
        </references>
      </pivotArea>
    </format>
    <format dxfId="23">
      <pivotArea outline="0" collapsedLevelsAreSubtotals="1" fieldPosition="0">
        <references count="1">
          <reference field="4294967294" count="1" selected="0">
            <x v="1"/>
          </reference>
        </references>
      </pivotArea>
    </format>
    <format dxfId="22">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39D7A5A-DE70-0D41-AFBE-D0F110B8A4F5}" sourceName="Category">
  <pivotTables>
    <pivotTable tabId="5" name="PivotTable4"/>
    <pivotTable tabId="4" name="PivotTable3"/>
    <pivotTable tabId="6" name="PivotTable5"/>
    <pivotTable tabId="7" name="PivotTable6"/>
    <pivotTable tabId="10" name="PivotTable3"/>
  </pivotTables>
  <data>
    <tabular pivotCacheId="1944488310">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3AFCAC-AB39-D140-89F9-AFE2592192A8}" sourceName="Region">
  <pivotTables>
    <pivotTable tabId="6" name="PivotTable5"/>
    <pivotTable tabId="4" name="PivotTable3"/>
    <pivotTable tabId="5" name="PivotTable4"/>
    <pivotTable tabId="7" name="PivotTable6"/>
    <pivotTable tabId="10" name="PivotTable3"/>
  </pivotTables>
  <data>
    <tabular pivotCacheId="1944488310">
      <items count="8">
        <i x="2" s="1"/>
        <i x="3" s="1"/>
        <i x="0" s="1"/>
        <i x="4" s="1"/>
        <i x="1" s="1"/>
        <i x="5" s="1"/>
        <i x="6"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05B93F1-9D6D-6A41-A7CC-CEB3F4F42D6A}" sourceName="Segment">
  <pivotTables>
    <pivotTable tabId="4" name="PivotTable3"/>
    <pivotTable tabId="5" name="PivotTable4"/>
    <pivotTable tabId="6" name="PivotTable5"/>
    <pivotTable tabId="7" name="PivotTable6"/>
    <pivotTable tabId="10" name="PivotTable3"/>
  </pivotTables>
  <data>
    <tabular pivotCacheId="1944488310">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Category" xr10:uid="{612ACDEF-E4F1-4A4C-B6EF-C75398C7E8F3}" sourceName="SubCategory">
  <pivotTables>
    <pivotTable tabId="7" name="PivotTable6"/>
    <pivotTable tabId="4" name="PivotTable3"/>
    <pivotTable tabId="5" name="PivotTable4"/>
    <pivotTable tabId="6" name="PivotTable5"/>
    <pivotTable tabId="10" name="PivotTable3"/>
  </pivotTables>
  <data>
    <tabular pivotCacheId="1944488310">
      <items count="13">
        <i x="10" s="1"/>
        <i x="12" s="1"/>
        <i x="3" s="1"/>
        <i x="11" s="1"/>
        <i x="4" s="1"/>
        <i x="7" s="1"/>
        <i x="0" s="1"/>
        <i x="2" s="1"/>
        <i x="8" s="1"/>
        <i x="5" s="1"/>
        <i x="6" s="1"/>
        <i x="9"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0039A5AB-ED88-8E4F-9669-3F1516FCB5C5}" sourceName="Months (OrderDate)">
  <pivotTables>
    <pivotTable tabId="4" name="PivotTable3"/>
    <pivotTable tabId="5" name="PivotTable4"/>
    <pivotTable tabId="6" name="PivotTable5"/>
    <pivotTable tabId="7" name="PivotTable6"/>
    <pivotTable tabId="10" name="PivotTable3"/>
  </pivotTables>
  <data>
    <tabular pivotCacheId="1944488310">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BD553B14-1735-734D-B03B-FE26F2A4A457}" cache="Slicer_Segment" caption="Segment" rowHeight="230716"/>
  <slicer name="Months (OrderDate)" xr10:uid="{990B2431-0A08-EA4D-9558-4C85D29CB9B4}" cache="Slicer_Months__OrderDate" caption="Months (OrderDate)"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B8E9283-3FE0-AD44-9747-BD22F1A83D38}" cache="Slicer_Category" caption="Category"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A88362A-CA66-744B-9745-48A353C922E1}" cache="Slicer_Region" caption="Region"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FD8E9302-0640-8E44-9F7A-63164B0E3B61}" cache="Slicer_SubCategory" caption="SubCategory" rowHeight="230716"/>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738DDB8C-C5AF-1B4C-ADE8-001BD1E8A91A}" cache="Slicer_Category" caption="Category" style="SlicerStyleLight5" rowHeight="230716"/>
  <slicer name="Region 1" xr10:uid="{66E52B4F-28B1-1E43-B851-8782F320BE49}" cache="Slicer_Region" caption="Region" style="SlicerStyleLight5" rowHeight="230716"/>
  <slicer name="Segment 1" xr10:uid="{248639C5-2C72-F446-994D-37975D638F12}" cache="Slicer_Segment" caption="Segment" style="SlicerStyleLight5" rowHeight="230716"/>
  <slicer name="Months (OrderDate) 1" xr10:uid="{3F8DF89A-166C-F040-9DC3-95D475887D5A}" cache="Slicer_Months__OrderDate" caption="Months (OrderDate)" style="SlicerStyleLight5"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1D93AF-0EF5-084D-B1EB-7333432E8D15}" name="SalesData" displayName="SalesData" ref="A1:K501" totalsRowShown="0" headerRowDxfId="21" headerRowBorderDxfId="20" tableBorderDxfId="19">
  <autoFilter ref="A1:K501" xr:uid="{1F1D93AF-0EF5-084D-B1EB-7333432E8D15}"/>
  <tableColumns count="11">
    <tableColumn id="1" xr3:uid="{A1D6F278-9832-AF4A-AA0A-2B6C5CDD9F1B}" name="OrderID"/>
    <tableColumn id="2" xr3:uid="{C2A71323-BAE8-EF46-8468-8B7D059C7E0B}" name="OrderDate" dataDxfId="18"/>
    <tableColumn id="3" xr3:uid="{006B8CE9-F6AD-C244-ABC9-22E628A8846F}" name="Region"/>
    <tableColumn id="4" xr3:uid="{7134C9E9-31F0-2E46-8364-C139628D2997}" name="Category"/>
    <tableColumn id="5" xr3:uid="{55801004-27E2-5447-AEAB-E8F94C26B30E}" name="SubCategory"/>
    <tableColumn id="6" xr3:uid="{DDD29FCA-8839-9D4A-ADDF-838E7E7AA402}" name="Segment"/>
    <tableColumn id="7" xr3:uid="{BDD0C49C-0C17-CF4B-BF39-FB2A604BA87A}" name="Quantity"/>
    <tableColumn id="8" xr3:uid="{3C6E6A16-700E-364F-9B72-EC96E695566D}" name="UnitPrice"/>
    <tableColumn id="9" xr3:uid="{8DEAC872-62AE-B74F-B85D-4D5344555E63}" name="Discount"/>
    <tableColumn id="10" xr3:uid="{48107291-DF74-734A-9B21-4147695F9392}" name="TotalSales"/>
    <tableColumn id="11" xr3:uid="{0574DDA0-39C2-334A-8BC7-8696DC82E5F8}" name="Profit"/>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39927-13DB-C942-9F91-1ABD37574BB3}">
  <dimension ref="A3:B23"/>
  <sheetViews>
    <sheetView workbookViewId="0">
      <selection activeCell="G9" sqref="G9"/>
    </sheetView>
  </sheetViews>
  <sheetFormatPr baseColWidth="10" defaultRowHeight="15" x14ac:dyDescent="0.2"/>
  <cols>
    <col min="1" max="1" width="12.1640625" bestFit="1" customWidth="1"/>
    <col min="2" max="2" width="14.33203125" bestFit="1" customWidth="1"/>
  </cols>
  <sheetData>
    <row r="3" spans="1:2" x14ac:dyDescent="0.2">
      <c r="A3" s="2" t="s">
        <v>41</v>
      </c>
      <c r="B3" t="s">
        <v>39</v>
      </c>
    </row>
    <row r="4" spans="1:2" x14ac:dyDescent="0.2">
      <c r="A4" s="3" t="s">
        <v>49</v>
      </c>
      <c r="B4" s="12">
        <v>418817885.19999993</v>
      </c>
    </row>
    <row r="5" spans="1:2" x14ac:dyDescent="0.2">
      <c r="A5" s="10" t="s">
        <v>50</v>
      </c>
      <c r="B5" s="12">
        <v>39103963.700000003</v>
      </c>
    </row>
    <row r="6" spans="1:2" x14ac:dyDescent="0.2">
      <c r="A6" s="10" t="s">
        <v>58</v>
      </c>
      <c r="B6" s="12">
        <v>37368596.200000003</v>
      </c>
    </row>
    <row r="7" spans="1:2" x14ac:dyDescent="0.2">
      <c r="A7" s="10" t="s">
        <v>57</v>
      </c>
      <c r="B7" s="12">
        <v>33425875.499999993</v>
      </c>
    </row>
    <row r="8" spans="1:2" x14ac:dyDescent="0.2">
      <c r="A8" s="10" t="s">
        <v>56</v>
      </c>
      <c r="B8" s="12">
        <v>32946188.600000009</v>
      </c>
    </row>
    <row r="9" spans="1:2" x14ac:dyDescent="0.2">
      <c r="A9" s="10" t="s">
        <v>53</v>
      </c>
      <c r="B9" s="12">
        <v>29064480.500000004</v>
      </c>
    </row>
    <row r="10" spans="1:2" x14ac:dyDescent="0.2">
      <c r="A10" s="10" t="s">
        <v>59</v>
      </c>
      <c r="B10" s="12">
        <v>41427588.399999999</v>
      </c>
    </row>
    <row r="11" spans="1:2" x14ac:dyDescent="0.2">
      <c r="A11" s="10" t="s">
        <v>60</v>
      </c>
      <c r="B11" s="12">
        <v>33130152.349999998</v>
      </c>
    </row>
    <row r="12" spans="1:2" x14ac:dyDescent="0.2">
      <c r="A12" s="10" t="s">
        <v>52</v>
      </c>
      <c r="B12" s="12">
        <v>37708393.149999991</v>
      </c>
    </row>
    <row r="13" spans="1:2" x14ac:dyDescent="0.2">
      <c r="A13" s="10" t="s">
        <v>51</v>
      </c>
      <c r="B13" s="12">
        <v>34277716.899999999</v>
      </c>
    </row>
    <row r="14" spans="1:2" x14ac:dyDescent="0.2">
      <c r="A14" s="10" t="s">
        <v>61</v>
      </c>
      <c r="B14" s="12">
        <v>36533151.049999997</v>
      </c>
    </row>
    <row r="15" spans="1:2" x14ac:dyDescent="0.2">
      <c r="A15" s="10" t="s">
        <v>62</v>
      </c>
      <c r="B15" s="12">
        <v>21634096.75</v>
      </c>
    </row>
    <row r="16" spans="1:2" x14ac:dyDescent="0.2">
      <c r="A16" s="10" t="s">
        <v>54</v>
      </c>
      <c r="B16" s="12">
        <v>42197682.099999994</v>
      </c>
    </row>
    <row r="17" spans="1:2" x14ac:dyDescent="0.2">
      <c r="A17" s="3" t="s">
        <v>55</v>
      </c>
      <c r="B17" s="12">
        <v>166210058.40000001</v>
      </c>
    </row>
    <row r="18" spans="1:2" x14ac:dyDescent="0.2">
      <c r="A18" s="10" t="s">
        <v>50</v>
      </c>
      <c r="B18" s="12">
        <v>53672452.349999994</v>
      </c>
    </row>
    <row r="19" spans="1:2" x14ac:dyDescent="0.2">
      <c r="A19" s="10" t="s">
        <v>58</v>
      </c>
      <c r="B19" s="12">
        <v>31285112.099999994</v>
      </c>
    </row>
    <row r="20" spans="1:2" x14ac:dyDescent="0.2">
      <c r="A20" s="10" t="s">
        <v>57</v>
      </c>
      <c r="B20" s="12">
        <v>48198510.850000009</v>
      </c>
    </row>
    <row r="21" spans="1:2" x14ac:dyDescent="0.2">
      <c r="A21" s="10" t="s">
        <v>56</v>
      </c>
      <c r="B21" s="12">
        <v>18444787.349999998</v>
      </c>
    </row>
    <row r="22" spans="1:2" x14ac:dyDescent="0.2">
      <c r="A22" s="10" t="s">
        <v>53</v>
      </c>
      <c r="B22" s="12">
        <v>14609195.749999998</v>
      </c>
    </row>
    <row r="23" spans="1:2" x14ac:dyDescent="0.2">
      <c r="A23" s="3" t="s">
        <v>42</v>
      </c>
      <c r="B23" s="12">
        <v>585027943.60000002</v>
      </c>
    </row>
  </sheetData>
  <pageMargins left="0.7" right="0.7" top="0.75" bottom="0.75" header="0.3" footer="0.3"/>
  <pageSetup paperSize="9" orientation="portrait" horizontalDpi="0" verticalDpi="0"/>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4C5E8-8888-124A-8FBF-748D1CC6394B}">
  <dimension ref="A3:B8"/>
  <sheetViews>
    <sheetView workbookViewId="0">
      <selection activeCell="D32" sqref="D32"/>
    </sheetView>
  </sheetViews>
  <sheetFormatPr baseColWidth="10" defaultRowHeight="15" x14ac:dyDescent="0.2"/>
  <cols>
    <col min="1" max="1" width="12.1640625" bestFit="1" customWidth="1"/>
    <col min="2" max="2" width="14.33203125" bestFit="1" customWidth="1"/>
  </cols>
  <sheetData>
    <row r="3" spans="1:2" x14ac:dyDescent="0.2">
      <c r="A3" s="2" t="s">
        <v>41</v>
      </c>
      <c r="B3" t="s">
        <v>39</v>
      </c>
    </row>
    <row r="4" spans="1:2" x14ac:dyDescent="0.2">
      <c r="A4" s="3" t="s">
        <v>22</v>
      </c>
      <c r="B4" s="12">
        <v>311858659.55000001</v>
      </c>
    </row>
    <row r="5" spans="1:2" x14ac:dyDescent="0.2">
      <c r="A5" s="3" t="s">
        <v>21</v>
      </c>
      <c r="B5" s="12">
        <v>257933714.29999992</v>
      </c>
    </row>
    <row r="6" spans="1:2" x14ac:dyDescent="0.2">
      <c r="A6" s="3" t="s">
        <v>20</v>
      </c>
      <c r="B6" s="12">
        <v>14238017.6</v>
      </c>
    </row>
    <row r="7" spans="1:2" x14ac:dyDescent="0.2">
      <c r="A7" s="3" t="s">
        <v>19</v>
      </c>
      <c r="B7" s="12">
        <v>997552.14999999979</v>
      </c>
    </row>
    <row r="8" spans="1:2" x14ac:dyDescent="0.2">
      <c r="A8" s="3" t="s">
        <v>42</v>
      </c>
      <c r="B8" s="12">
        <v>585027943.5999999</v>
      </c>
    </row>
  </sheetData>
  <pageMargins left="0.7" right="0.7" top="0.75" bottom="0.75" header="0.3" footer="0.3"/>
  <pageSetup paperSize="9" orientation="portrait" horizontalDpi="0" verticalDpi="0"/>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0FC3D-81DB-0A4A-B057-71ECE46CB585}">
  <dimension ref="A3:B12"/>
  <sheetViews>
    <sheetView workbookViewId="0">
      <selection activeCell="X33" sqref="X33"/>
    </sheetView>
  </sheetViews>
  <sheetFormatPr baseColWidth="10" defaultRowHeight="15" x14ac:dyDescent="0.2"/>
  <cols>
    <col min="1" max="1" width="12.1640625" bestFit="1" customWidth="1"/>
    <col min="2" max="2" width="14.33203125" bestFit="1" customWidth="1"/>
  </cols>
  <sheetData>
    <row r="3" spans="1:2" x14ac:dyDescent="0.2">
      <c r="A3" s="2" t="s">
        <v>41</v>
      </c>
      <c r="B3" t="s">
        <v>39</v>
      </c>
    </row>
    <row r="4" spans="1:2" x14ac:dyDescent="0.2">
      <c r="A4" s="3" t="s">
        <v>17</v>
      </c>
      <c r="B4" s="12">
        <v>91072504.300000012</v>
      </c>
    </row>
    <row r="5" spans="1:2" x14ac:dyDescent="0.2">
      <c r="A5" s="3" t="s">
        <v>14</v>
      </c>
      <c r="B5" s="12">
        <v>83362628.600000009</v>
      </c>
    </row>
    <row r="6" spans="1:2" x14ac:dyDescent="0.2">
      <c r="A6" s="3" t="s">
        <v>13</v>
      </c>
      <c r="B6" s="12">
        <v>80470396.050000027</v>
      </c>
    </row>
    <row r="7" spans="1:2" x14ac:dyDescent="0.2">
      <c r="A7" s="3" t="s">
        <v>16</v>
      </c>
      <c r="B7" s="12">
        <v>73404449.5</v>
      </c>
    </row>
    <row r="8" spans="1:2" x14ac:dyDescent="0.2">
      <c r="A8" s="3" t="s">
        <v>11</v>
      </c>
      <c r="B8" s="12">
        <v>68360646.649999991</v>
      </c>
    </row>
    <row r="9" spans="1:2" x14ac:dyDescent="0.2">
      <c r="A9" s="3" t="s">
        <v>15</v>
      </c>
      <c r="B9" s="12">
        <v>66086294.200000003</v>
      </c>
    </row>
    <row r="10" spans="1:2" x14ac:dyDescent="0.2">
      <c r="A10" s="3" t="s">
        <v>18</v>
      </c>
      <c r="B10" s="12">
        <v>65226142.500000007</v>
      </c>
    </row>
    <row r="11" spans="1:2" x14ac:dyDescent="0.2">
      <c r="A11" s="3" t="s">
        <v>12</v>
      </c>
      <c r="B11" s="12">
        <v>57044881.800000004</v>
      </c>
    </row>
    <row r="12" spans="1:2" x14ac:dyDescent="0.2">
      <c r="A12" s="3" t="s">
        <v>42</v>
      </c>
      <c r="B12" s="12">
        <v>585027943.60000002</v>
      </c>
    </row>
  </sheetData>
  <pageMargins left="0.7" right="0.7" top="0.75" bottom="0.75" header="0.3" footer="0.3"/>
  <pageSetup paperSize="9" orientation="portrait" horizontalDpi="0" verticalDpi="0"/>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778B3-6C6B-FD4B-A025-A57213688B11}">
  <dimension ref="A3:B17"/>
  <sheetViews>
    <sheetView workbookViewId="0">
      <selection activeCell="A4" sqref="A4"/>
    </sheetView>
  </sheetViews>
  <sheetFormatPr baseColWidth="10" defaultRowHeight="15" x14ac:dyDescent="0.2"/>
  <cols>
    <col min="1" max="1" width="12.1640625" bestFit="1" customWidth="1"/>
    <col min="2" max="2" width="14.33203125" bestFit="1" customWidth="1"/>
  </cols>
  <sheetData>
    <row r="3" spans="1:2" x14ac:dyDescent="0.2">
      <c r="A3" s="2" t="s">
        <v>41</v>
      </c>
      <c r="B3" t="s">
        <v>39</v>
      </c>
    </row>
    <row r="4" spans="1:2" x14ac:dyDescent="0.2">
      <c r="A4" s="3" t="s">
        <v>34</v>
      </c>
      <c r="B4" s="12">
        <v>112874279.25000003</v>
      </c>
    </row>
    <row r="5" spans="1:2" x14ac:dyDescent="0.2">
      <c r="A5" s="3" t="s">
        <v>30</v>
      </c>
      <c r="B5" s="12">
        <v>109820226.80000003</v>
      </c>
    </row>
    <row r="6" spans="1:2" x14ac:dyDescent="0.2">
      <c r="A6" s="3" t="s">
        <v>26</v>
      </c>
      <c r="B6" s="12">
        <v>101390202.80000001</v>
      </c>
    </row>
    <row r="7" spans="1:2" x14ac:dyDescent="0.2">
      <c r="A7" s="3" t="s">
        <v>33</v>
      </c>
      <c r="B7" s="12">
        <v>89164153.499999985</v>
      </c>
    </row>
    <row r="8" spans="1:2" x14ac:dyDescent="0.2">
      <c r="A8" s="3" t="s">
        <v>31</v>
      </c>
      <c r="B8" s="12">
        <v>82673797.349999994</v>
      </c>
    </row>
    <row r="9" spans="1:2" x14ac:dyDescent="0.2">
      <c r="A9" s="3" t="s">
        <v>29</v>
      </c>
      <c r="B9" s="12">
        <v>73869714.150000006</v>
      </c>
    </row>
    <row r="10" spans="1:2" x14ac:dyDescent="0.2">
      <c r="A10" s="3" t="s">
        <v>24</v>
      </c>
      <c r="B10" s="12">
        <v>7465651.2000000002</v>
      </c>
    </row>
    <row r="11" spans="1:2" x14ac:dyDescent="0.2">
      <c r="A11" s="3" t="s">
        <v>27</v>
      </c>
      <c r="B11" s="12">
        <v>6772366.4000000004</v>
      </c>
    </row>
    <row r="12" spans="1:2" x14ac:dyDescent="0.2">
      <c r="A12" s="3" t="s">
        <v>25</v>
      </c>
      <c r="B12" s="12">
        <v>259313.89999999994</v>
      </c>
    </row>
    <row r="13" spans="1:2" x14ac:dyDescent="0.2">
      <c r="A13" s="3" t="s">
        <v>23</v>
      </c>
      <c r="B13" s="12">
        <v>249610.35000000003</v>
      </c>
    </row>
    <row r="14" spans="1:2" x14ac:dyDescent="0.2">
      <c r="A14" s="3" t="s">
        <v>32</v>
      </c>
      <c r="B14" s="12">
        <v>175315.15</v>
      </c>
    </row>
    <row r="15" spans="1:2" x14ac:dyDescent="0.2">
      <c r="A15" s="3" t="s">
        <v>28</v>
      </c>
      <c r="B15" s="12">
        <v>158770.6</v>
      </c>
    </row>
    <row r="16" spans="1:2" x14ac:dyDescent="0.2">
      <c r="A16" s="3" t="s">
        <v>35</v>
      </c>
      <c r="B16" s="12">
        <v>154542.14999999997</v>
      </c>
    </row>
    <row r="17" spans="1:2" x14ac:dyDescent="0.2">
      <c r="A17" s="3" t="s">
        <v>42</v>
      </c>
      <c r="B17" s="12">
        <v>585027943.60000002</v>
      </c>
    </row>
  </sheetData>
  <pageMargins left="0.7" right="0.7" top="0.75" bottom="0.75" header="0.3" footer="0.3"/>
  <pageSetup paperSize="9" orientation="portrait" horizontalDpi="0" verticalDpi="0"/>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9901C-A6C3-C145-A8E0-71178B61E0DA}">
  <sheetPr>
    <pageSetUpPr fitToPage="1"/>
  </sheetPr>
  <dimension ref="A96:J96"/>
  <sheetViews>
    <sheetView showGridLines="0" showRowColHeaders="0" tabSelected="1" zoomScale="81" zoomScaleNormal="81" workbookViewId="0">
      <selection activeCell="V11" sqref="V11"/>
    </sheetView>
  </sheetViews>
  <sheetFormatPr baseColWidth="10" defaultRowHeight="15" x14ac:dyDescent="0.2"/>
  <cols>
    <col min="1" max="1" width="10.83203125" customWidth="1"/>
  </cols>
  <sheetData>
    <row r="96" spans="1:10" x14ac:dyDescent="0.2">
      <c r="A96" s="11"/>
      <c r="B96" s="11"/>
      <c r="C96" s="11"/>
      <c r="D96" s="11"/>
      <c r="E96" s="11"/>
      <c r="F96" s="11"/>
      <c r="G96" s="11"/>
      <c r="H96" s="11"/>
      <c r="I96" s="11"/>
      <c r="J96" s="11"/>
    </row>
  </sheetData>
  <mergeCells count="2">
    <mergeCell ref="A96:E96"/>
    <mergeCell ref="F96:J96"/>
  </mergeCells>
  <phoneticPr fontId="2" type="noConversion"/>
  <pageMargins left="0.7" right="0.7" top="0.75" bottom="0.75" header="0.3" footer="0.3"/>
  <pageSetup paperSize="8" scale="56" orientation="portrait" horizontalDpi="0" verticalDpi="0"/>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7F80A-832C-5B49-AF7A-2C8412982DC2}">
  <dimension ref="A3:C9"/>
  <sheetViews>
    <sheetView workbookViewId="0">
      <selection activeCell="B8" sqref="B8"/>
    </sheetView>
  </sheetViews>
  <sheetFormatPr baseColWidth="10" defaultRowHeight="15" x14ac:dyDescent="0.2"/>
  <cols>
    <col min="1" max="1" width="16.6640625" bestFit="1" customWidth="1"/>
    <col min="2" max="2" width="15.5" bestFit="1" customWidth="1"/>
    <col min="3" max="3" width="14.1640625" bestFit="1" customWidth="1"/>
  </cols>
  <sheetData>
    <row r="3" spans="1:3" x14ac:dyDescent="0.2">
      <c r="A3" t="s">
        <v>39</v>
      </c>
      <c r="B3" t="s">
        <v>40</v>
      </c>
      <c r="C3" t="s">
        <v>43</v>
      </c>
    </row>
    <row r="4" spans="1:3" x14ac:dyDescent="0.2">
      <c r="A4" s="6">
        <v>585027943.5999999</v>
      </c>
      <c r="B4" s="6">
        <v>99944097.840000004</v>
      </c>
      <c r="C4" s="12">
        <v>500</v>
      </c>
    </row>
    <row r="6" spans="1:3" x14ac:dyDescent="0.2">
      <c r="A6" s="7" t="s">
        <v>44</v>
      </c>
      <c r="B6" s="7" t="s">
        <v>45</v>
      </c>
    </row>
    <row r="7" spans="1:3" x14ac:dyDescent="0.2">
      <c r="A7" s="8" t="s">
        <v>46</v>
      </c>
      <c r="B7" s="9">
        <f>A4</f>
        <v>585027943.5999999</v>
      </c>
    </row>
    <row r="8" spans="1:3" x14ac:dyDescent="0.2">
      <c r="A8" s="8" t="s">
        <v>47</v>
      </c>
      <c r="B8" s="9">
        <f>B4</f>
        <v>99944097.840000004</v>
      </c>
    </row>
    <row r="9" spans="1:3" x14ac:dyDescent="0.2">
      <c r="A9" s="8" t="s">
        <v>48</v>
      </c>
      <c r="B9" s="8">
        <f>C4</f>
        <v>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zoomScale="135" zoomScaleNormal="135" workbookViewId="0">
      <selection activeCell="L81" sqref="L81"/>
    </sheetView>
  </sheetViews>
  <sheetFormatPr baseColWidth="10" defaultColWidth="8.83203125" defaultRowHeight="15" x14ac:dyDescent="0.2"/>
  <cols>
    <col min="1" max="1" width="9.6640625" customWidth="1"/>
    <col min="2" max="2" width="14.5" customWidth="1"/>
    <col min="4" max="4" width="10.33203125" customWidth="1"/>
    <col min="5" max="5" width="13.1640625" customWidth="1"/>
    <col min="6" max="6" width="14.33203125" customWidth="1"/>
    <col min="7" max="7" width="10.33203125" customWidth="1"/>
    <col min="8" max="8" width="10.83203125" customWidth="1"/>
    <col min="9" max="9" width="10.33203125" customWidth="1"/>
    <col min="10" max="10" width="11.1640625" customWidth="1"/>
    <col min="14" max="14" width="10.5" customWidth="1"/>
  </cols>
  <sheetData>
    <row r="1" spans="1:11" x14ac:dyDescent="0.2">
      <c r="A1" s="1" t="s">
        <v>0</v>
      </c>
      <c r="B1" s="5" t="s">
        <v>1</v>
      </c>
      <c r="C1" s="1" t="s">
        <v>2</v>
      </c>
      <c r="D1" s="1" t="s">
        <v>3</v>
      </c>
      <c r="E1" s="1" t="s">
        <v>4</v>
      </c>
      <c r="F1" s="1" t="s">
        <v>5</v>
      </c>
      <c r="G1" s="1" t="s">
        <v>6</v>
      </c>
      <c r="H1" s="1" t="s">
        <v>7</v>
      </c>
      <c r="I1" s="1" t="s">
        <v>8</v>
      </c>
      <c r="J1" s="1" t="s">
        <v>9</v>
      </c>
      <c r="K1" s="1" t="s">
        <v>10</v>
      </c>
    </row>
    <row r="2" spans="1:11" x14ac:dyDescent="0.2">
      <c r="A2">
        <v>2000</v>
      </c>
      <c r="B2" s="4">
        <v>44927</v>
      </c>
      <c r="C2" t="s">
        <v>11</v>
      </c>
      <c r="D2" t="s">
        <v>19</v>
      </c>
      <c r="E2" t="s">
        <v>23</v>
      </c>
      <c r="F2" t="s">
        <v>36</v>
      </c>
      <c r="G2">
        <v>40</v>
      </c>
      <c r="H2">
        <v>727</v>
      </c>
      <c r="I2">
        <v>0.05</v>
      </c>
      <c r="J2">
        <v>27626</v>
      </c>
      <c r="K2">
        <v>5363.75</v>
      </c>
    </row>
    <row r="3" spans="1:11" x14ac:dyDescent="0.2">
      <c r="A3">
        <v>2001</v>
      </c>
      <c r="B3" s="4">
        <v>44928</v>
      </c>
      <c r="C3" t="s">
        <v>12</v>
      </c>
      <c r="D3" t="s">
        <v>20</v>
      </c>
      <c r="E3" t="s">
        <v>24</v>
      </c>
      <c r="F3" t="s">
        <v>37</v>
      </c>
      <c r="G3">
        <v>17</v>
      </c>
      <c r="H3">
        <v>7400</v>
      </c>
      <c r="I3">
        <v>0.1</v>
      </c>
      <c r="J3">
        <v>113220</v>
      </c>
      <c r="K3">
        <v>16352.39</v>
      </c>
    </row>
    <row r="4" spans="1:11" x14ac:dyDescent="0.2">
      <c r="A4">
        <v>2002</v>
      </c>
      <c r="B4" s="4">
        <v>44929</v>
      </c>
      <c r="C4" t="s">
        <v>13</v>
      </c>
      <c r="D4" t="s">
        <v>19</v>
      </c>
      <c r="E4" t="s">
        <v>25</v>
      </c>
      <c r="F4" t="s">
        <v>36</v>
      </c>
      <c r="G4">
        <v>38</v>
      </c>
      <c r="H4">
        <v>195</v>
      </c>
      <c r="I4">
        <v>0.1</v>
      </c>
      <c r="J4">
        <v>6669</v>
      </c>
      <c r="K4">
        <v>767.76</v>
      </c>
    </row>
    <row r="5" spans="1:11" x14ac:dyDescent="0.2">
      <c r="A5">
        <v>2003</v>
      </c>
      <c r="B5" s="4">
        <v>44930</v>
      </c>
      <c r="C5" t="s">
        <v>14</v>
      </c>
      <c r="D5" t="s">
        <v>19</v>
      </c>
      <c r="E5" t="s">
        <v>25</v>
      </c>
      <c r="F5" t="s">
        <v>38</v>
      </c>
      <c r="G5">
        <v>40</v>
      </c>
      <c r="H5">
        <v>650</v>
      </c>
      <c r="I5">
        <v>0.05</v>
      </c>
      <c r="J5">
        <v>24700</v>
      </c>
      <c r="K5">
        <v>2224.11</v>
      </c>
    </row>
    <row r="6" spans="1:11" x14ac:dyDescent="0.2">
      <c r="A6">
        <v>2004</v>
      </c>
      <c r="B6" s="4">
        <v>44931</v>
      </c>
      <c r="C6" t="s">
        <v>15</v>
      </c>
      <c r="D6" t="s">
        <v>21</v>
      </c>
      <c r="E6" t="s">
        <v>26</v>
      </c>
      <c r="F6" t="s">
        <v>36</v>
      </c>
      <c r="G6">
        <v>6</v>
      </c>
      <c r="H6">
        <v>96540</v>
      </c>
      <c r="I6">
        <v>0</v>
      </c>
      <c r="J6">
        <v>579240</v>
      </c>
      <c r="K6">
        <v>131340.56</v>
      </c>
    </row>
    <row r="7" spans="1:11" x14ac:dyDescent="0.2">
      <c r="A7">
        <v>2005</v>
      </c>
      <c r="B7" s="4">
        <v>44932</v>
      </c>
      <c r="C7" t="s">
        <v>16</v>
      </c>
      <c r="D7" t="s">
        <v>20</v>
      </c>
      <c r="E7" t="s">
        <v>27</v>
      </c>
      <c r="F7" t="s">
        <v>38</v>
      </c>
      <c r="G7">
        <v>22</v>
      </c>
      <c r="H7">
        <v>6357</v>
      </c>
      <c r="I7">
        <v>0</v>
      </c>
      <c r="J7">
        <v>139854</v>
      </c>
      <c r="K7">
        <v>13587.69</v>
      </c>
    </row>
    <row r="8" spans="1:11" x14ac:dyDescent="0.2">
      <c r="A8">
        <v>2006</v>
      </c>
      <c r="B8" s="4">
        <v>44933</v>
      </c>
      <c r="C8" t="s">
        <v>15</v>
      </c>
      <c r="D8" t="s">
        <v>20</v>
      </c>
      <c r="E8" t="s">
        <v>24</v>
      </c>
      <c r="F8" t="s">
        <v>36</v>
      </c>
      <c r="G8">
        <v>36</v>
      </c>
      <c r="H8">
        <v>4675</v>
      </c>
      <c r="I8">
        <v>0.1</v>
      </c>
      <c r="J8">
        <v>151470</v>
      </c>
      <c r="K8">
        <v>21676.77</v>
      </c>
    </row>
    <row r="9" spans="1:11" x14ac:dyDescent="0.2">
      <c r="A9">
        <v>2007</v>
      </c>
      <c r="B9" s="4">
        <v>44934</v>
      </c>
      <c r="C9" t="s">
        <v>17</v>
      </c>
      <c r="D9" t="s">
        <v>19</v>
      </c>
      <c r="E9" t="s">
        <v>28</v>
      </c>
      <c r="F9" t="s">
        <v>38</v>
      </c>
      <c r="G9">
        <v>17</v>
      </c>
      <c r="H9">
        <v>645</v>
      </c>
      <c r="I9">
        <v>0</v>
      </c>
      <c r="J9">
        <v>10965</v>
      </c>
      <c r="K9">
        <v>1345.98</v>
      </c>
    </row>
    <row r="10" spans="1:11" x14ac:dyDescent="0.2">
      <c r="A10">
        <v>2008</v>
      </c>
      <c r="B10" s="4">
        <v>44935</v>
      </c>
      <c r="C10" t="s">
        <v>13</v>
      </c>
      <c r="D10" t="s">
        <v>21</v>
      </c>
      <c r="E10" t="s">
        <v>26</v>
      </c>
      <c r="F10" t="s">
        <v>37</v>
      </c>
      <c r="G10">
        <v>4</v>
      </c>
      <c r="H10">
        <v>79172</v>
      </c>
      <c r="I10">
        <v>0.05</v>
      </c>
      <c r="J10">
        <v>300853.59999999998</v>
      </c>
      <c r="K10">
        <v>35950.589999999997</v>
      </c>
    </row>
    <row r="11" spans="1:11" x14ac:dyDescent="0.2">
      <c r="A11">
        <v>2009</v>
      </c>
      <c r="B11" s="4">
        <v>44936</v>
      </c>
      <c r="C11" t="s">
        <v>16</v>
      </c>
      <c r="D11" t="s">
        <v>20</v>
      </c>
      <c r="E11" t="s">
        <v>24</v>
      </c>
      <c r="F11" t="s">
        <v>37</v>
      </c>
      <c r="G11">
        <v>8</v>
      </c>
      <c r="H11">
        <v>4950</v>
      </c>
      <c r="I11">
        <v>0</v>
      </c>
      <c r="J11">
        <v>39600</v>
      </c>
      <c r="K11">
        <v>7033.02</v>
      </c>
    </row>
    <row r="12" spans="1:11" x14ac:dyDescent="0.2">
      <c r="A12">
        <v>2010</v>
      </c>
      <c r="B12" s="4">
        <v>44937</v>
      </c>
      <c r="C12" t="s">
        <v>18</v>
      </c>
      <c r="D12" t="s">
        <v>20</v>
      </c>
      <c r="E12" t="s">
        <v>24</v>
      </c>
      <c r="F12" t="s">
        <v>37</v>
      </c>
      <c r="G12">
        <v>17</v>
      </c>
      <c r="H12">
        <v>7722</v>
      </c>
      <c r="I12">
        <v>0.05</v>
      </c>
      <c r="J12">
        <v>124710.3</v>
      </c>
      <c r="K12">
        <v>29848.21</v>
      </c>
    </row>
    <row r="13" spans="1:11" x14ac:dyDescent="0.2">
      <c r="A13">
        <v>2011</v>
      </c>
      <c r="B13" s="4">
        <v>44938</v>
      </c>
      <c r="C13" t="s">
        <v>18</v>
      </c>
      <c r="D13" t="s">
        <v>21</v>
      </c>
      <c r="E13" t="s">
        <v>29</v>
      </c>
      <c r="F13" t="s">
        <v>36</v>
      </c>
      <c r="G13">
        <v>6</v>
      </c>
      <c r="H13">
        <v>79680</v>
      </c>
      <c r="I13">
        <v>0</v>
      </c>
      <c r="J13">
        <v>478080</v>
      </c>
      <c r="K13">
        <v>63458.55</v>
      </c>
    </row>
    <row r="14" spans="1:11" x14ac:dyDescent="0.2">
      <c r="A14">
        <v>2012</v>
      </c>
      <c r="B14" s="4">
        <v>44939</v>
      </c>
      <c r="C14" t="s">
        <v>13</v>
      </c>
      <c r="D14" t="s">
        <v>22</v>
      </c>
      <c r="E14" t="s">
        <v>30</v>
      </c>
      <c r="F14" t="s">
        <v>38</v>
      </c>
      <c r="G14">
        <v>1</v>
      </c>
      <c r="H14">
        <v>244114</v>
      </c>
      <c r="I14">
        <v>0.1</v>
      </c>
      <c r="J14">
        <v>219702.6</v>
      </c>
      <c r="K14">
        <v>25369.71</v>
      </c>
    </row>
    <row r="15" spans="1:11" x14ac:dyDescent="0.2">
      <c r="A15">
        <v>2013</v>
      </c>
      <c r="B15" s="4">
        <v>44940</v>
      </c>
      <c r="C15" t="s">
        <v>17</v>
      </c>
      <c r="D15" t="s">
        <v>21</v>
      </c>
      <c r="E15" t="s">
        <v>26</v>
      </c>
      <c r="F15" t="s">
        <v>38</v>
      </c>
      <c r="G15">
        <v>39</v>
      </c>
      <c r="H15">
        <v>122816</v>
      </c>
      <c r="I15">
        <v>0.05</v>
      </c>
      <c r="J15">
        <v>4550332.8</v>
      </c>
      <c r="K15">
        <v>448364.45</v>
      </c>
    </row>
    <row r="16" spans="1:11" x14ac:dyDescent="0.2">
      <c r="A16">
        <v>2014</v>
      </c>
      <c r="B16" s="4">
        <v>44941</v>
      </c>
      <c r="C16" t="s">
        <v>12</v>
      </c>
      <c r="D16" t="s">
        <v>21</v>
      </c>
      <c r="E16" t="s">
        <v>31</v>
      </c>
      <c r="F16" t="s">
        <v>37</v>
      </c>
      <c r="G16">
        <v>7</v>
      </c>
      <c r="H16">
        <v>21385</v>
      </c>
      <c r="I16">
        <v>0.1</v>
      </c>
      <c r="J16">
        <v>134725.5</v>
      </c>
      <c r="K16">
        <v>28034.9</v>
      </c>
    </row>
    <row r="17" spans="1:11" x14ac:dyDescent="0.2">
      <c r="A17">
        <v>2015</v>
      </c>
      <c r="B17" s="4">
        <v>44942</v>
      </c>
      <c r="C17" t="s">
        <v>17</v>
      </c>
      <c r="D17" t="s">
        <v>19</v>
      </c>
      <c r="E17" t="s">
        <v>32</v>
      </c>
      <c r="F17" t="s">
        <v>38</v>
      </c>
      <c r="G17">
        <v>34</v>
      </c>
      <c r="H17">
        <v>762</v>
      </c>
      <c r="I17">
        <v>0.1</v>
      </c>
      <c r="J17">
        <v>23317.200000000001</v>
      </c>
      <c r="K17">
        <v>4097.26</v>
      </c>
    </row>
    <row r="18" spans="1:11" x14ac:dyDescent="0.2">
      <c r="A18">
        <v>2016</v>
      </c>
      <c r="B18" s="4">
        <v>44943</v>
      </c>
      <c r="C18" t="s">
        <v>11</v>
      </c>
      <c r="D18" t="s">
        <v>21</v>
      </c>
      <c r="E18" t="s">
        <v>26</v>
      </c>
      <c r="F18" t="s">
        <v>36</v>
      </c>
      <c r="G18">
        <v>10</v>
      </c>
      <c r="H18">
        <v>48803</v>
      </c>
      <c r="I18">
        <v>0</v>
      </c>
      <c r="J18">
        <v>488030</v>
      </c>
      <c r="K18">
        <v>61081.17</v>
      </c>
    </row>
    <row r="19" spans="1:11" x14ac:dyDescent="0.2">
      <c r="A19">
        <v>2017</v>
      </c>
      <c r="B19" s="4">
        <v>44944</v>
      </c>
      <c r="C19" t="s">
        <v>13</v>
      </c>
      <c r="D19" t="s">
        <v>22</v>
      </c>
      <c r="E19" t="s">
        <v>33</v>
      </c>
      <c r="F19" t="s">
        <v>36</v>
      </c>
      <c r="G19">
        <v>30</v>
      </c>
      <c r="H19">
        <v>130622</v>
      </c>
      <c r="I19">
        <v>0</v>
      </c>
      <c r="J19">
        <v>3918660</v>
      </c>
      <c r="K19">
        <v>554845.41</v>
      </c>
    </row>
    <row r="20" spans="1:11" x14ac:dyDescent="0.2">
      <c r="A20">
        <v>2018</v>
      </c>
      <c r="B20" s="4">
        <v>44945</v>
      </c>
      <c r="C20" t="s">
        <v>17</v>
      </c>
      <c r="D20" t="s">
        <v>21</v>
      </c>
      <c r="E20" t="s">
        <v>26</v>
      </c>
      <c r="F20" t="s">
        <v>38</v>
      </c>
      <c r="G20">
        <v>36</v>
      </c>
      <c r="H20">
        <v>143436</v>
      </c>
      <c r="I20">
        <v>0.1</v>
      </c>
      <c r="J20">
        <v>4647326.4000000004</v>
      </c>
      <c r="K20">
        <v>447819.53</v>
      </c>
    </row>
    <row r="21" spans="1:11" x14ac:dyDescent="0.2">
      <c r="A21">
        <v>2019</v>
      </c>
      <c r="B21" s="4">
        <v>44946</v>
      </c>
      <c r="C21" t="s">
        <v>15</v>
      </c>
      <c r="D21" t="s">
        <v>21</v>
      </c>
      <c r="E21" t="s">
        <v>29</v>
      </c>
      <c r="F21" t="s">
        <v>36</v>
      </c>
      <c r="G21">
        <v>29</v>
      </c>
      <c r="H21">
        <v>85134</v>
      </c>
      <c r="I21">
        <v>0</v>
      </c>
      <c r="J21">
        <v>2468886</v>
      </c>
      <c r="K21">
        <v>481060.41</v>
      </c>
    </row>
    <row r="22" spans="1:11" x14ac:dyDescent="0.2">
      <c r="A22">
        <v>2020</v>
      </c>
      <c r="B22" s="4">
        <v>44947</v>
      </c>
      <c r="C22" t="s">
        <v>16</v>
      </c>
      <c r="D22" t="s">
        <v>20</v>
      </c>
      <c r="E22" t="s">
        <v>24</v>
      </c>
      <c r="F22" t="s">
        <v>37</v>
      </c>
      <c r="G22">
        <v>34</v>
      </c>
      <c r="H22">
        <v>5007</v>
      </c>
      <c r="I22">
        <v>0</v>
      </c>
      <c r="J22">
        <v>170238</v>
      </c>
      <c r="K22">
        <v>19533.740000000002</v>
      </c>
    </row>
    <row r="23" spans="1:11" x14ac:dyDescent="0.2">
      <c r="A23">
        <v>2021</v>
      </c>
      <c r="B23" s="4">
        <v>44948</v>
      </c>
      <c r="C23" t="s">
        <v>17</v>
      </c>
      <c r="D23" t="s">
        <v>22</v>
      </c>
      <c r="E23" t="s">
        <v>33</v>
      </c>
      <c r="F23" t="s">
        <v>36</v>
      </c>
      <c r="G23">
        <v>25</v>
      </c>
      <c r="H23">
        <v>67698</v>
      </c>
      <c r="I23">
        <v>0.05</v>
      </c>
      <c r="J23">
        <v>1607827.5</v>
      </c>
      <c r="K23">
        <v>398360.19</v>
      </c>
    </row>
    <row r="24" spans="1:11" x14ac:dyDescent="0.2">
      <c r="A24">
        <v>2022</v>
      </c>
      <c r="B24" s="4">
        <v>44949</v>
      </c>
      <c r="C24" t="s">
        <v>16</v>
      </c>
      <c r="D24" t="s">
        <v>21</v>
      </c>
      <c r="E24" t="s">
        <v>26</v>
      </c>
      <c r="F24" t="s">
        <v>38</v>
      </c>
      <c r="G24">
        <v>17</v>
      </c>
      <c r="H24">
        <v>98853</v>
      </c>
      <c r="I24">
        <v>0.1</v>
      </c>
      <c r="J24">
        <v>1512450.9</v>
      </c>
      <c r="K24">
        <v>345227.64</v>
      </c>
    </row>
    <row r="25" spans="1:11" x14ac:dyDescent="0.2">
      <c r="A25">
        <v>2023</v>
      </c>
      <c r="B25" s="4">
        <v>44950</v>
      </c>
      <c r="C25" t="s">
        <v>14</v>
      </c>
      <c r="D25" t="s">
        <v>22</v>
      </c>
      <c r="E25" t="s">
        <v>33</v>
      </c>
      <c r="F25" t="s">
        <v>36</v>
      </c>
      <c r="G25">
        <v>27</v>
      </c>
      <c r="H25">
        <v>225793</v>
      </c>
      <c r="I25">
        <v>0</v>
      </c>
      <c r="J25">
        <v>6096411</v>
      </c>
      <c r="K25">
        <v>720876.11</v>
      </c>
    </row>
    <row r="26" spans="1:11" x14ac:dyDescent="0.2">
      <c r="A26">
        <v>2024</v>
      </c>
      <c r="B26" s="4">
        <v>44951</v>
      </c>
      <c r="C26" t="s">
        <v>13</v>
      </c>
      <c r="D26" t="s">
        <v>22</v>
      </c>
      <c r="E26" t="s">
        <v>33</v>
      </c>
      <c r="F26" t="s">
        <v>36</v>
      </c>
      <c r="G26">
        <v>29</v>
      </c>
      <c r="H26">
        <v>180614</v>
      </c>
      <c r="I26">
        <v>0</v>
      </c>
      <c r="J26">
        <v>5237806</v>
      </c>
      <c r="K26">
        <v>924124.18</v>
      </c>
    </row>
    <row r="27" spans="1:11" x14ac:dyDescent="0.2">
      <c r="A27">
        <v>2025</v>
      </c>
      <c r="B27" s="4">
        <v>44952</v>
      </c>
      <c r="C27" t="s">
        <v>14</v>
      </c>
      <c r="D27" t="s">
        <v>21</v>
      </c>
      <c r="E27" t="s">
        <v>31</v>
      </c>
      <c r="F27" t="s">
        <v>36</v>
      </c>
      <c r="G27">
        <v>20</v>
      </c>
      <c r="H27">
        <v>118728</v>
      </c>
      <c r="I27">
        <v>0</v>
      </c>
      <c r="J27">
        <v>2374560</v>
      </c>
      <c r="K27">
        <v>298616.90000000002</v>
      </c>
    </row>
    <row r="28" spans="1:11" x14ac:dyDescent="0.2">
      <c r="A28">
        <v>2026</v>
      </c>
      <c r="B28" s="4">
        <v>44953</v>
      </c>
      <c r="C28" t="s">
        <v>17</v>
      </c>
      <c r="D28" t="s">
        <v>20</v>
      </c>
      <c r="E28" t="s">
        <v>24</v>
      </c>
      <c r="F28" t="s">
        <v>37</v>
      </c>
      <c r="G28">
        <v>6</v>
      </c>
      <c r="H28">
        <v>4781</v>
      </c>
      <c r="I28">
        <v>0</v>
      </c>
      <c r="J28">
        <v>28686</v>
      </c>
      <c r="K28">
        <v>6335.57</v>
      </c>
    </row>
    <row r="29" spans="1:11" x14ac:dyDescent="0.2">
      <c r="A29">
        <v>2027</v>
      </c>
      <c r="B29" s="4">
        <v>44954</v>
      </c>
      <c r="C29" t="s">
        <v>14</v>
      </c>
      <c r="D29" t="s">
        <v>20</v>
      </c>
      <c r="E29" t="s">
        <v>27</v>
      </c>
      <c r="F29" t="s">
        <v>37</v>
      </c>
      <c r="G29">
        <v>2</v>
      </c>
      <c r="H29">
        <v>4392</v>
      </c>
      <c r="I29">
        <v>0.1</v>
      </c>
      <c r="J29">
        <v>7905.6</v>
      </c>
      <c r="K29">
        <v>1251.25</v>
      </c>
    </row>
    <row r="30" spans="1:11" x14ac:dyDescent="0.2">
      <c r="A30">
        <v>2028</v>
      </c>
      <c r="B30" s="4">
        <v>44955</v>
      </c>
      <c r="C30" t="s">
        <v>16</v>
      </c>
      <c r="D30" t="s">
        <v>21</v>
      </c>
      <c r="E30" t="s">
        <v>26</v>
      </c>
      <c r="F30" t="s">
        <v>37</v>
      </c>
      <c r="G30">
        <v>30</v>
      </c>
      <c r="H30">
        <v>123356</v>
      </c>
      <c r="I30">
        <v>0.05</v>
      </c>
      <c r="J30">
        <v>3515646</v>
      </c>
      <c r="K30">
        <v>670997.65</v>
      </c>
    </row>
    <row r="31" spans="1:11" x14ac:dyDescent="0.2">
      <c r="A31">
        <v>2029</v>
      </c>
      <c r="B31" s="4">
        <v>44956</v>
      </c>
      <c r="C31" t="s">
        <v>13</v>
      </c>
      <c r="D31" t="s">
        <v>20</v>
      </c>
      <c r="E31" t="s">
        <v>24</v>
      </c>
      <c r="F31" t="s">
        <v>37</v>
      </c>
      <c r="G31">
        <v>16</v>
      </c>
      <c r="H31">
        <v>6678</v>
      </c>
      <c r="I31">
        <v>0.1</v>
      </c>
      <c r="J31">
        <v>96163.199999999997</v>
      </c>
      <c r="K31">
        <v>20010.599999999999</v>
      </c>
    </row>
    <row r="32" spans="1:11" x14ac:dyDescent="0.2">
      <c r="A32">
        <v>2030</v>
      </c>
      <c r="B32" s="4">
        <v>44957</v>
      </c>
      <c r="C32" t="s">
        <v>16</v>
      </c>
      <c r="D32" t="s">
        <v>19</v>
      </c>
      <c r="E32" t="s">
        <v>25</v>
      </c>
      <c r="F32" t="s">
        <v>37</v>
      </c>
      <c r="G32">
        <v>34</v>
      </c>
      <c r="H32">
        <v>257</v>
      </c>
      <c r="I32">
        <v>0.05</v>
      </c>
      <c r="J32">
        <v>8301.1</v>
      </c>
      <c r="K32">
        <v>760.17</v>
      </c>
    </row>
    <row r="33" spans="1:11" x14ac:dyDescent="0.2">
      <c r="A33">
        <v>2031</v>
      </c>
      <c r="B33" s="4">
        <v>44958</v>
      </c>
      <c r="C33" t="s">
        <v>13</v>
      </c>
      <c r="D33" t="s">
        <v>19</v>
      </c>
      <c r="E33" t="s">
        <v>25</v>
      </c>
      <c r="F33" t="s">
        <v>37</v>
      </c>
      <c r="G33">
        <v>34</v>
      </c>
      <c r="H33">
        <v>784</v>
      </c>
      <c r="I33">
        <v>0.05</v>
      </c>
      <c r="J33">
        <v>25323.200000000001</v>
      </c>
      <c r="K33">
        <v>3657.01</v>
      </c>
    </row>
    <row r="34" spans="1:11" x14ac:dyDescent="0.2">
      <c r="A34">
        <v>2032</v>
      </c>
      <c r="B34" s="4">
        <v>44959</v>
      </c>
      <c r="C34" t="s">
        <v>17</v>
      </c>
      <c r="D34" t="s">
        <v>21</v>
      </c>
      <c r="E34" t="s">
        <v>29</v>
      </c>
      <c r="F34" t="s">
        <v>36</v>
      </c>
      <c r="G34">
        <v>37</v>
      </c>
      <c r="H34">
        <v>145132</v>
      </c>
      <c r="I34">
        <v>0</v>
      </c>
      <c r="J34">
        <v>5369884</v>
      </c>
      <c r="K34">
        <v>1295510.2</v>
      </c>
    </row>
    <row r="35" spans="1:11" x14ac:dyDescent="0.2">
      <c r="A35">
        <v>2033</v>
      </c>
      <c r="B35" s="4">
        <v>44960</v>
      </c>
      <c r="C35" t="s">
        <v>14</v>
      </c>
      <c r="D35" t="s">
        <v>22</v>
      </c>
      <c r="E35" t="s">
        <v>30</v>
      </c>
      <c r="F35" t="s">
        <v>36</v>
      </c>
      <c r="G35">
        <v>31</v>
      </c>
      <c r="H35">
        <v>139711</v>
      </c>
      <c r="I35">
        <v>0.05</v>
      </c>
      <c r="J35">
        <v>4114488.95</v>
      </c>
      <c r="K35">
        <v>571296.35</v>
      </c>
    </row>
    <row r="36" spans="1:11" x14ac:dyDescent="0.2">
      <c r="A36">
        <v>2034</v>
      </c>
      <c r="B36" s="4">
        <v>44961</v>
      </c>
      <c r="C36" t="s">
        <v>16</v>
      </c>
      <c r="D36" t="s">
        <v>22</v>
      </c>
      <c r="E36" t="s">
        <v>33</v>
      </c>
      <c r="F36" t="s">
        <v>37</v>
      </c>
      <c r="G36">
        <v>4</v>
      </c>
      <c r="H36">
        <v>53518</v>
      </c>
      <c r="I36">
        <v>0.1</v>
      </c>
      <c r="J36">
        <v>192664.8</v>
      </c>
      <c r="K36">
        <v>30288.33</v>
      </c>
    </row>
    <row r="37" spans="1:11" x14ac:dyDescent="0.2">
      <c r="A37">
        <v>2035</v>
      </c>
      <c r="B37" s="4">
        <v>44962</v>
      </c>
      <c r="C37" t="s">
        <v>15</v>
      </c>
      <c r="D37" t="s">
        <v>21</v>
      </c>
      <c r="E37" t="s">
        <v>29</v>
      </c>
      <c r="F37" t="s">
        <v>36</v>
      </c>
      <c r="G37">
        <v>15</v>
      </c>
      <c r="H37">
        <v>131832</v>
      </c>
      <c r="I37">
        <v>0.05</v>
      </c>
      <c r="J37">
        <v>1878606</v>
      </c>
      <c r="K37">
        <v>417934.02</v>
      </c>
    </row>
    <row r="38" spans="1:11" x14ac:dyDescent="0.2">
      <c r="A38">
        <v>2036</v>
      </c>
      <c r="B38" s="4">
        <v>44963</v>
      </c>
      <c r="C38" t="s">
        <v>17</v>
      </c>
      <c r="D38" t="s">
        <v>20</v>
      </c>
      <c r="E38" t="s">
        <v>24</v>
      </c>
      <c r="F38" t="s">
        <v>37</v>
      </c>
      <c r="G38">
        <v>13</v>
      </c>
      <c r="H38">
        <v>7120</v>
      </c>
      <c r="I38">
        <v>0</v>
      </c>
      <c r="J38">
        <v>92560</v>
      </c>
      <c r="K38">
        <v>16565.55</v>
      </c>
    </row>
    <row r="39" spans="1:11" x14ac:dyDescent="0.2">
      <c r="A39">
        <v>2037</v>
      </c>
      <c r="B39" s="4">
        <v>44964</v>
      </c>
      <c r="C39" t="s">
        <v>13</v>
      </c>
      <c r="D39" t="s">
        <v>21</v>
      </c>
      <c r="E39" t="s">
        <v>26</v>
      </c>
      <c r="F39" t="s">
        <v>37</v>
      </c>
      <c r="G39">
        <v>5</v>
      </c>
      <c r="H39">
        <v>118263</v>
      </c>
      <c r="I39">
        <v>0.1</v>
      </c>
      <c r="J39">
        <v>532183.5</v>
      </c>
      <c r="K39">
        <v>80647.66</v>
      </c>
    </row>
    <row r="40" spans="1:11" x14ac:dyDescent="0.2">
      <c r="A40">
        <v>2038</v>
      </c>
      <c r="B40" s="4">
        <v>44965</v>
      </c>
      <c r="C40" t="s">
        <v>11</v>
      </c>
      <c r="D40" t="s">
        <v>21</v>
      </c>
      <c r="E40" t="s">
        <v>29</v>
      </c>
      <c r="F40" t="s">
        <v>38</v>
      </c>
      <c r="G40">
        <v>23</v>
      </c>
      <c r="H40">
        <v>78167</v>
      </c>
      <c r="I40">
        <v>0.05</v>
      </c>
      <c r="J40">
        <v>1707948.95</v>
      </c>
      <c r="K40">
        <v>143884.48000000001</v>
      </c>
    </row>
    <row r="41" spans="1:11" x14ac:dyDescent="0.2">
      <c r="A41">
        <v>2039</v>
      </c>
      <c r="B41" s="4">
        <v>44966</v>
      </c>
      <c r="C41" t="s">
        <v>15</v>
      </c>
      <c r="D41" t="s">
        <v>20</v>
      </c>
      <c r="E41" t="s">
        <v>27</v>
      </c>
      <c r="F41" t="s">
        <v>36</v>
      </c>
      <c r="G41">
        <v>14</v>
      </c>
      <c r="H41">
        <v>6791</v>
      </c>
      <c r="I41">
        <v>0.1</v>
      </c>
      <c r="J41">
        <v>85566.6</v>
      </c>
      <c r="K41">
        <v>20370.79</v>
      </c>
    </row>
    <row r="42" spans="1:11" x14ac:dyDescent="0.2">
      <c r="A42">
        <v>2040</v>
      </c>
      <c r="B42" s="4">
        <v>44967</v>
      </c>
      <c r="C42" t="s">
        <v>16</v>
      </c>
      <c r="D42" t="s">
        <v>21</v>
      </c>
      <c r="E42" t="s">
        <v>26</v>
      </c>
      <c r="F42" t="s">
        <v>37</v>
      </c>
      <c r="G42">
        <v>5</v>
      </c>
      <c r="H42">
        <v>93801</v>
      </c>
      <c r="I42">
        <v>0</v>
      </c>
      <c r="J42">
        <v>469005</v>
      </c>
      <c r="K42">
        <v>114373.34</v>
      </c>
    </row>
    <row r="43" spans="1:11" x14ac:dyDescent="0.2">
      <c r="A43">
        <v>2041</v>
      </c>
      <c r="B43" s="4">
        <v>44968</v>
      </c>
      <c r="C43" t="s">
        <v>13</v>
      </c>
      <c r="D43" t="s">
        <v>21</v>
      </c>
      <c r="E43" t="s">
        <v>29</v>
      </c>
      <c r="F43" t="s">
        <v>38</v>
      </c>
      <c r="G43">
        <v>30</v>
      </c>
      <c r="H43">
        <v>156196</v>
      </c>
      <c r="I43">
        <v>0.05</v>
      </c>
      <c r="J43">
        <v>4451586</v>
      </c>
      <c r="K43">
        <v>878468.77</v>
      </c>
    </row>
    <row r="44" spans="1:11" x14ac:dyDescent="0.2">
      <c r="A44">
        <v>2042</v>
      </c>
      <c r="B44" s="4">
        <v>44969</v>
      </c>
      <c r="C44" t="s">
        <v>15</v>
      </c>
      <c r="D44" t="s">
        <v>20</v>
      </c>
      <c r="E44" t="s">
        <v>24</v>
      </c>
      <c r="F44" t="s">
        <v>36</v>
      </c>
      <c r="G44">
        <v>36</v>
      </c>
      <c r="H44">
        <v>3379</v>
      </c>
      <c r="I44">
        <v>0</v>
      </c>
      <c r="J44">
        <v>121644</v>
      </c>
      <c r="K44">
        <v>21532.79</v>
      </c>
    </row>
    <row r="45" spans="1:11" x14ac:dyDescent="0.2">
      <c r="A45">
        <v>2043</v>
      </c>
      <c r="B45" s="4">
        <v>44970</v>
      </c>
      <c r="C45" t="s">
        <v>15</v>
      </c>
      <c r="D45" t="s">
        <v>20</v>
      </c>
      <c r="E45" t="s">
        <v>24</v>
      </c>
      <c r="F45" t="s">
        <v>37</v>
      </c>
      <c r="G45">
        <v>37</v>
      </c>
      <c r="H45">
        <v>4602</v>
      </c>
      <c r="I45">
        <v>0.05</v>
      </c>
      <c r="J45">
        <v>161760.29999999999</v>
      </c>
      <c r="K45">
        <v>37177.31</v>
      </c>
    </row>
    <row r="46" spans="1:11" x14ac:dyDescent="0.2">
      <c r="A46">
        <v>2044</v>
      </c>
      <c r="B46" s="4">
        <v>44971</v>
      </c>
      <c r="C46" t="s">
        <v>13</v>
      </c>
      <c r="D46" t="s">
        <v>20</v>
      </c>
      <c r="E46" t="s">
        <v>27</v>
      </c>
      <c r="F46" t="s">
        <v>37</v>
      </c>
      <c r="G46">
        <v>15</v>
      </c>
      <c r="H46">
        <v>6057</v>
      </c>
      <c r="I46">
        <v>0.05</v>
      </c>
      <c r="J46">
        <v>86312.25</v>
      </c>
      <c r="K46">
        <v>10032.34</v>
      </c>
    </row>
    <row r="47" spans="1:11" x14ac:dyDescent="0.2">
      <c r="A47">
        <v>2045</v>
      </c>
      <c r="B47" s="4">
        <v>44972</v>
      </c>
      <c r="C47" t="s">
        <v>17</v>
      </c>
      <c r="D47" t="s">
        <v>22</v>
      </c>
      <c r="E47" t="s">
        <v>34</v>
      </c>
      <c r="F47" t="s">
        <v>38</v>
      </c>
      <c r="G47">
        <v>8</v>
      </c>
      <c r="H47">
        <v>179866</v>
      </c>
      <c r="I47">
        <v>0.1</v>
      </c>
      <c r="J47">
        <v>1295035.2</v>
      </c>
      <c r="K47">
        <v>111905.28</v>
      </c>
    </row>
    <row r="48" spans="1:11" x14ac:dyDescent="0.2">
      <c r="A48">
        <v>2046</v>
      </c>
      <c r="B48" s="4">
        <v>44973</v>
      </c>
      <c r="C48" t="s">
        <v>11</v>
      </c>
      <c r="D48" t="s">
        <v>22</v>
      </c>
      <c r="E48" t="s">
        <v>30</v>
      </c>
      <c r="F48" t="s">
        <v>37</v>
      </c>
      <c r="G48">
        <v>8</v>
      </c>
      <c r="H48">
        <v>90845</v>
      </c>
      <c r="I48">
        <v>0.05</v>
      </c>
      <c r="J48">
        <v>690422</v>
      </c>
      <c r="K48">
        <v>61602.94</v>
      </c>
    </row>
    <row r="49" spans="1:11" x14ac:dyDescent="0.2">
      <c r="A49">
        <v>2047</v>
      </c>
      <c r="B49" s="4">
        <v>44974</v>
      </c>
      <c r="C49" t="s">
        <v>11</v>
      </c>
      <c r="D49" t="s">
        <v>20</v>
      </c>
      <c r="E49" t="s">
        <v>27</v>
      </c>
      <c r="F49" t="s">
        <v>36</v>
      </c>
      <c r="G49">
        <v>15</v>
      </c>
      <c r="H49">
        <v>6762</v>
      </c>
      <c r="I49">
        <v>0</v>
      </c>
      <c r="J49">
        <v>101430</v>
      </c>
      <c r="K49">
        <v>8371.0400000000009</v>
      </c>
    </row>
    <row r="50" spans="1:11" x14ac:dyDescent="0.2">
      <c r="A50">
        <v>2048</v>
      </c>
      <c r="B50" s="4">
        <v>44975</v>
      </c>
      <c r="C50" t="s">
        <v>11</v>
      </c>
      <c r="D50" t="s">
        <v>19</v>
      </c>
      <c r="E50" t="s">
        <v>35</v>
      </c>
      <c r="F50" t="s">
        <v>37</v>
      </c>
      <c r="G50">
        <v>35</v>
      </c>
      <c r="H50">
        <v>221</v>
      </c>
      <c r="I50">
        <v>0</v>
      </c>
      <c r="J50">
        <v>7735</v>
      </c>
      <c r="K50">
        <v>1101.56</v>
      </c>
    </row>
    <row r="51" spans="1:11" x14ac:dyDescent="0.2">
      <c r="A51">
        <v>2049</v>
      </c>
      <c r="B51" s="4">
        <v>44976</v>
      </c>
      <c r="C51" t="s">
        <v>11</v>
      </c>
      <c r="D51" t="s">
        <v>20</v>
      </c>
      <c r="E51" t="s">
        <v>24</v>
      </c>
      <c r="F51" t="s">
        <v>38</v>
      </c>
      <c r="G51">
        <v>10</v>
      </c>
      <c r="H51">
        <v>5345</v>
      </c>
      <c r="I51">
        <v>0.05</v>
      </c>
      <c r="J51">
        <v>50777.5</v>
      </c>
      <c r="K51">
        <v>7505.68</v>
      </c>
    </row>
    <row r="52" spans="1:11" x14ac:dyDescent="0.2">
      <c r="A52">
        <v>2050</v>
      </c>
      <c r="B52" s="4">
        <v>44977</v>
      </c>
      <c r="C52" t="s">
        <v>16</v>
      </c>
      <c r="D52" t="s">
        <v>22</v>
      </c>
      <c r="E52" t="s">
        <v>30</v>
      </c>
      <c r="F52" t="s">
        <v>38</v>
      </c>
      <c r="G52">
        <v>11</v>
      </c>
      <c r="H52">
        <v>83561</v>
      </c>
      <c r="I52">
        <v>0.05</v>
      </c>
      <c r="J52">
        <v>873212.45</v>
      </c>
      <c r="K52">
        <v>185343.99</v>
      </c>
    </row>
    <row r="53" spans="1:11" x14ac:dyDescent="0.2">
      <c r="A53">
        <v>2051</v>
      </c>
      <c r="B53" s="4">
        <v>44978</v>
      </c>
      <c r="C53" t="s">
        <v>18</v>
      </c>
      <c r="D53" t="s">
        <v>20</v>
      </c>
      <c r="E53" t="s">
        <v>27</v>
      </c>
      <c r="F53" t="s">
        <v>36</v>
      </c>
      <c r="G53">
        <v>22</v>
      </c>
      <c r="H53">
        <v>4580</v>
      </c>
      <c r="I53">
        <v>0.05</v>
      </c>
      <c r="J53">
        <v>95722</v>
      </c>
      <c r="K53">
        <v>18213.89</v>
      </c>
    </row>
    <row r="54" spans="1:11" x14ac:dyDescent="0.2">
      <c r="A54">
        <v>2052</v>
      </c>
      <c r="B54" s="4">
        <v>44979</v>
      </c>
      <c r="C54" t="s">
        <v>14</v>
      </c>
      <c r="D54" t="s">
        <v>21</v>
      </c>
      <c r="E54" t="s">
        <v>26</v>
      </c>
      <c r="F54" t="s">
        <v>38</v>
      </c>
      <c r="G54">
        <v>20</v>
      </c>
      <c r="H54">
        <v>84493</v>
      </c>
      <c r="I54">
        <v>0</v>
      </c>
      <c r="J54">
        <v>1689860</v>
      </c>
      <c r="K54">
        <v>410813.62</v>
      </c>
    </row>
    <row r="55" spans="1:11" x14ac:dyDescent="0.2">
      <c r="A55">
        <v>2053</v>
      </c>
      <c r="B55" s="4">
        <v>44980</v>
      </c>
      <c r="C55" t="s">
        <v>18</v>
      </c>
      <c r="D55" t="s">
        <v>21</v>
      </c>
      <c r="E55" t="s">
        <v>29</v>
      </c>
      <c r="F55" t="s">
        <v>38</v>
      </c>
      <c r="G55">
        <v>12</v>
      </c>
      <c r="H55">
        <v>115378</v>
      </c>
      <c r="I55">
        <v>0</v>
      </c>
      <c r="J55">
        <v>1384536</v>
      </c>
      <c r="K55">
        <v>210124.3</v>
      </c>
    </row>
    <row r="56" spans="1:11" x14ac:dyDescent="0.2">
      <c r="A56">
        <v>2054</v>
      </c>
      <c r="B56" s="4">
        <v>44981</v>
      </c>
      <c r="C56" t="s">
        <v>14</v>
      </c>
      <c r="D56" t="s">
        <v>22</v>
      </c>
      <c r="E56" t="s">
        <v>33</v>
      </c>
      <c r="F56" t="s">
        <v>36</v>
      </c>
      <c r="G56">
        <v>4</v>
      </c>
      <c r="H56">
        <v>127457</v>
      </c>
      <c r="I56">
        <v>0</v>
      </c>
      <c r="J56">
        <v>509828</v>
      </c>
      <c r="K56">
        <v>89547.31</v>
      </c>
    </row>
    <row r="57" spans="1:11" x14ac:dyDescent="0.2">
      <c r="A57">
        <v>2055</v>
      </c>
      <c r="B57" s="4">
        <v>44982</v>
      </c>
      <c r="C57" t="s">
        <v>13</v>
      </c>
      <c r="D57" t="s">
        <v>21</v>
      </c>
      <c r="E57" t="s">
        <v>31</v>
      </c>
      <c r="F57" t="s">
        <v>37</v>
      </c>
      <c r="G57">
        <v>38</v>
      </c>
      <c r="H57">
        <v>101555</v>
      </c>
      <c r="I57">
        <v>0.1</v>
      </c>
      <c r="J57">
        <v>3473181</v>
      </c>
      <c r="K57">
        <v>709437.84</v>
      </c>
    </row>
    <row r="58" spans="1:11" x14ac:dyDescent="0.2">
      <c r="A58">
        <v>2056</v>
      </c>
      <c r="B58" s="4">
        <v>44983</v>
      </c>
      <c r="C58" t="s">
        <v>14</v>
      </c>
      <c r="D58" t="s">
        <v>22</v>
      </c>
      <c r="E58" t="s">
        <v>30</v>
      </c>
      <c r="F58" t="s">
        <v>38</v>
      </c>
      <c r="G58">
        <v>30</v>
      </c>
      <c r="H58">
        <v>213015</v>
      </c>
      <c r="I58">
        <v>0.05</v>
      </c>
      <c r="J58">
        <v>6070927.5</v>
      </c>
      <c r="K58">
        <v>645620.43999999994</v>
      </c>
    </row>
    <row r="59" spans="1:11" x14ac:dyDescent="0.2">
      <c r="A59">
        <v>2057</v>
      </c>
      <c r="B59" s="4">
        <v>44984</v>
      </c>
      <c r="C59" t="s">
        <v>16</v>
      </c>
      <c r="D59" t="s">
        <v>21</v>
      </c>
      <c r="E59" t="s">
        <v>31</v>
      </c>
      <c r="F59" t="s">
        <v>36</v>
      </c>
      <c r="G59">
        <v>36</v>
      </c>
      <c r="H59">
        <v>53645</v>
      </c>
      <c r="I59">
        <v>0.05</v>
      </c>
      <c r="J59">
        <v>1834659</v>
      </c>
      <c r="K59">
        <v>293592.7</v>
      </c>
    </row>
    <row r="60" spans="1:11" x14ac:dyDescent="0.2">
      <c r="A60">
        <v>2058</v>
      </c>
      <c r="B60" s="4">
        <v>44985</v>
      </c>
      <c r="C60" t="s">
        <v>16</v>
      </c>
      <c r="D60" t="s">
        <v>19</v>
      </c>
      <c r="E60" t="s">
        <v>25</v>
      </c>
      <c r="F60" t="s">
        <v>38</v>
      </c>
      <c r="G60">
        <v>9</v>
      </c>
      <c r="H60">
        <v>193</v>
      </c>
      <c r="I60">
        <v>0</v>
      </c>
      <c r="J60">
        <v>1737</v>
      </c>
      <c r="K60">
        <v>271.20999999999998</v>
      </c>
    </row>
    <row r="61" spans="1:11" x14ac:dyDescent="0.2">
      <c r="A61">
        <v>2059</v>
      </c>
      <c r="B61" s="4">
        <v>44986</v>
      </c>
      <c r="C61" t="s">
        <v>13</v>
      </c>
      <c r="D61" t="s">
        <v>19</v>
      </c>
      <c r="E61" t="s">
        <v>25</v>
      </c>
      <c r="F61" t="s">
        <v>38</v>
      </c>
      <c r="G61">
        <v>34</v>
      </c>
      <c r="H61">
        <v>611</v>
      </c>
      <c r="I61">
        <v>0.1</v>
      </c>
      <c r="J61">
        <v>18696.599999999999</v>
      </c>
      <c r="K61">
        <v>3617.99</v>
      </c>
    </row>
    <row r="62" spans="1:11" x14ac:dyDescent="0.2">
      <c r="A62">
        <v>2060</v>
      </c>
      <c r="B62" s="4">
        <v>44987</v>
      </c>
      <c r="C62" t="s">
        <v>11</v>
      </c>
      <c r="D62" t="s">
        <v>21</v>
      </c>
      <c r="E62" t="s">
        <v>26</v>
      </c>
      <c r="F62" t="s">
        <v>38</v>
      </c>
      <c r="G62">
        <v>36</v>
      </c>
      <c r="H62">
        <v>158756</v>
      </c>
      <c r="I62">
        <v>0.05</v>
      </c>
      <c r="J62">
        <v>5429455.2000000002</v>
      </c>
      <c r="K62">
        <v>437464.1</v>
      </c>
    </row>
    <row r="63" spans="1:11" x14ac:dyDescent="0.2">
      <c r="A63">
        <v>2061</v>
      </c>
      <c r="B63" s="4">
        <v>44988</v>
      </c>
      <c r="C63" t="s">
        <v>13</v>
      </c>
      <c r="D63" t="s">
        <v>22</v>
      </c>
      <c r="E63" t="s">
        <v>30</v>
      </c>
      <c r="F63" t="s">
        <v>37</v>
      </c>
      <c r="G63">
        <v>12</v>
      </c>
      <c r="H63">
        <v>78760</v>
      </c>
      <c r="I63">
        <v>0.05</v>
      </c>
      <c r="J63">
        <v>897864</v>
      </c>
      <c r="K63">
        <v>201551.28</v>
      </c>
    </row>
    <row r="64" spans="1:11" x14ac:dyDescent="0.2">
      <c r="A64">
        <v>2062</v>
      </c>
      <c r="B64" s="4">
        <v>44989</v>
      </c>
      <c r="C64" t="s">
        <v>15</v>
      </c>
      <c r="D64" t="s">
        <v>21</v>
      </c>
      <c r="E64" t="s">
        <v>29</v>
      </c>
      <c r="F64" t="s">
        <v>38</v>
      </c>
      <c r="G64">
        <v>38</v>
      </c>
      <c r="H64">
        <v>17471</v>
      </c>
      <c r="I64">
        <v>0.05</v>
      </c>
      <c r="J64">
        <v>630703.1</v>
      </c>
      <c r="K64">
        <v>124756.21</v>
      </c>
    </row>
    <row r="65" spans="1:11" x14ac:dyDescent="0.2">
      <c r="A65">
        <v>2063</v>
      </c>
      <c r="B65" s="4">
        <v>44990</v>
      </c>
      <c r="C65" t="s">
        <v>17</v>
      </c>
      <c r="D65" t="s">
        <v>19</v>
      </c>
      <c r="E65" t="s">
        <v>32</v>
      </c>
      <c r="F65" t="s">
        <v>37</v>
      </c>
      <c r="G65">
        <v>1</v>
      </c>
      <c r="H65">
        <v>200</v>
      </c>
      <c r="I65">
        <v>0</v>
      </c>
      <c r="J65">
        <v>200</v>
      </c>
      <c r="K65">
        <v>48.96</v>
      </c>
    </row>
    <row r="66" spans="1:11" x14ac:dyDescent="0.2">
      <c r="A66">
        <v>2064</v>
      </c>
      <c r="B66" s="4">
        <v>44991</v>
      </c>
      <c r="C66" t="s">
        <v>15</v>
      </c>
      <c r="D66" t="s">
        <v>19</v>
      </c>
      <c r="E66" t="s">
        <v>32</v>
      </c>
      <c r="F66" t="s">
        <v>36</v>
      </c>
      <c r="G66">
        <v>30</v>
      </c>
      <c r="H66">
        <v>503</v>
      </c>
      <c r="I66">
        <v>0.1</v>
      </c>
      <c r="J66">
        <v>13581</v>
      </c>
      <c r="K66">
        <v>2294.9699999999998</v>
      </c>
    </row>
    <row r="67" spans="1:11" x14ac:dyDescent="0.2">
      <c r="A67">
        <v>2065</v>
      </c>
      <c r="B67" s="4">
        <v>44992</v>
      </c>
      <c r="C67" t="s">
        <v>15</v>
      </c>
      <c r="D67" t="s">
        <v>21</v>
      </c>
      <c r="E67" t="s">
        <v>31</v>
      </c>
      <c r="F67" t="s">
        <v>38</v>
      </c>
      <c r="G67">
        <v>30</v>
      </c>
      <c r="H67">
        <v>80429</v>
      </c>
      <c r="I67">
        <v>0.05</v>
      </c>
      <c r="J67">
        <v>2292226.5</v>
      </c>
      <c r="K67">
        <v>331801.44</v>
      </c>
    </row>
    <row r="68" spans="1:11" x14ac:dyDescent="0.2">
      <c r="A68">
        <v>2066</v>
      </c>
      <c r="B68" s="4">
        <v>44993</v>
      </c>
      <c r="C68" t="s">
        <v>12</v>
      </c>
      <c r="D68" t="s">
        <v>21</v>
      </c>
      <c r="E68" t="s">
        <v>31</v>
      </c>
      <c r="F68" t="s">
        <v>38</v>
      </c>
      <c r="G68">
        <v>33</v>
      </c>
      <c r="H68">
        <v>57595</v>
      </c>
      <c r="I68">
        <v>0.05</v>
      </c>
      <c r="J68">
        <v>1805603.25</v>
      </c>
      <c r="K68">
        <v>205347.36</v>
      </c>
    </row>
    <row r="69" spans="1:11" x14ac:dyDescent="0.2">
      <c r="A69">
        <v>2067</v>
      </c>
      <c r="B69" s="4">
        <v>44994</v>
      </c>
      <c r="C69" t="s">
        <v>17</v>
      </c>
      <c r="D69" t="s">
        <v>21</v>
      </c>
      <c r="E69" t="s">
        <v>29</v>
      </c>
      <c r="F69" t="s">
        <v>37</v>
      </c>
      <c r="G69">
        <v>17</v>
      </c>
      <c r="H69">
        <v>38692</v>
      </c>
      <c r="I69">
        <v>0.1</v>
      </c>
      <c r="J69">
        <v>591987.6</v>
      </c>
      <c r="K69">
        <v>93596.44</v>
      </c>
    </row>
    <row r="70" spans="1:11" x14ac:dyDescent="0.2">
      <c r="A70">
        <v>2068</v>
      </c>
      <c r="B70" s="4">
        <v>44995</v>
      </c>
      <c r="C70" t="s">
        <v>18</v>
      </c>
      <c r="D70" t="s">
        <v>21</v>
      </c>
      <c r="E70" t="s">
        <v>29</v>
      </c>
      <c r="F70" t="s">
        <v>37</v>
      </c>
      <c r="G70">
        <v>9</v>
      </c>
      <c r="H70">
        <v>49831</v>
      </c>
      <c r="I70">
        <v>0.05</v>
      </c>
      <c r="J70">
        <v>426055.05</v>
      </c>
      <c r="K70">
        <v>71467.960000000006</v>
      </c>
    </row>
    <row r="71" spans="1:11" x14ac:dyDescent="0.2">
      <c r="A71">
        <v>2069</v>
      </c>
      <c r="B71" s="4">
        <v>44996</v>
      </c>
      <c r="C71" t="s">
        <v>12</v>
      </c>
      <c r="D71" t="s">
        <v>22</v>
      </c>
      <c r="E71" t="s">
        <v>33</v>
      </c>
      <c r="F71" t="s">
        <v>37</v>
      </c>
      <c r="G71">
        <v>29</v>
      </c>
      <c r="H71">
        <v>245940</v>
      </c>
      <c r="I71">
        <v>0</v>
      </c>
      <c r="J71">
        <v>7132260</v>
      </c>
      <c r="K71">
        <v>851694.16</v>
      </c>
    </row>
    <row r="72" spans="1:11" x14ac:dyDescent="0.2">
      <c r="A72">
        <v>2070</v>
      </c>
      <c r="B72" s="4">
        <v>44997</v>
      </c>
      <c r="C72" t="s">
        <v>15</v>
      </c>
      <c r="D72" t="s">
        <v>19</v>
      </c>
      <c r="E72" t="s">
        <v>32</v>
      </c>
      <c r="F72" t="s">
        <v>37</v>
      </c>
      <c r="G72">
        <v>13</v>
      </c>
      <c r="H72">
        <v>669</v>
      </c>
      <c r="I72">
        <v>0.05</v>
      </c>
      <c r="J72">
        <v>8262.15</v>
      </c>
      <c r="K72">
        <v>893.48</v>
      </c>
    </row>
    <row r="73" spans="1:11" x14ac:dyDescent="0.2">
      <c r="A73">
        <v>2071</v>
      </c>
      <c r="B73" s="4">
        <v>44998</v>
      </c>
      <c r="C73" t="s">
        <v>11</v>
      </c>
      <c r="D73" t="s">
        <v>19</v>
      </c>
      <c r="E73" t="s">
        <v>25</v>
      </c>
      <c r="F73" t="s">
        <v>36</v>
      </c>
      <c r="G73">
        <v>30</v>
      </c>
      <c r="H73">
        <v>541</v>
      </c>
      <c r="I73">
        <v>0.1</v>
      </c>
      <c r="J73">
        <v>14607</v>
      </c>
      <c r="K73">
        <v>1841.13</v>
      </c>
    </row>
    <row r="74" spans="1:11" x14ac:dyDescent="0.2">
      <c r="A74">
        <v>2072</v>
      </c>
      <c r="B74" s="4">
        <v>44999</v>
      </c>
      <c r="C74" t="s">
        <v>18</v>
      </c>
      <c r="D74" t="s">
        <v>21</v>
      </c>
      <c r="E74" t="s">
        <v>26</v>
      </c>
      <c r="F74" t="s">
        <v>37</v>
      </c>
      <c r="G74">
        <v>4</v>
      </c>
      <c r="H74">
        <v>134510</v>
      </c>
      <c r="I74">
        <v>0.05</v>
      </c>
      <c r="J74">
        <v>511138</v>
      </c>
      <c r="K74">
        <v>97601.55</v>
      </c>
    </row>
    <row r="75" spans="1:11" x14ac:dyDescent="0.2">
      <c r="A75">
        <v>2073</v>
      </c>
      <c r="B75" s="4">
        <v>45000</v>
      </c>
      <c r="C75" t="s">
        <v>11</v>
      </c>
      <c r="D75" t="s">
        <v>22</v>
      </c>
      <c r="E75" t="s">
        <v>34</v>
      </c>
      <c r="F75" t="s">
        <v>36</v>
      </c>
      <c r="G75">
        <v>35</v>
      </c>
      <c r="H75">
        <v>226066</v>
      </c>
      <c r="I75">
        <v>0</v>
      </c>
      <c r="J75">
        <v>7912310</v>
      </c>
      <c r="K75">
        <v>1732981.31</v>
      </c>
    </row>
    <row r="76" spans="1:11" x14ac:dyDescent="0.2">
      <c r="A76">
        <v>2074</v>
      </c>
      <c r="B76" s="4">
        <v>45001</v>
      </c>
      <c r="C76" t="s">
        <v>14</v>
      </c>
      <c r="D76" t="s">
        <v>21</v>
      </c>
      <c r="E76" t="s">
        <v>31</v>
      </c>
      <c r="F76" t="s">
        <v>38</v>
      </c>
      <c r="G76">
        <v>28</v>
      </c>
      <c r="H76">
        <v>101587</v>
      </c>
      <c r="I76">
        <v>0.1</v>
      </c>
      <c r="J76">
        <v>2559992.4</v>
      </c>
      <c r="K76">
        <v>564375.79</v>
      </c>
    </row>
    <row r="77" spans="1:11" x14ac:dyDescent="0.2">
      <c r="A77">
        <v>2075</v>
      </c>
      <c r="B77" s="4">
        <v>45002</v>
      </c>
      <c r="C77" t="s">
        <v>16</v>
      </c>
      <c r="D77" t="s">
        <v>20</v>
      </c>
      <c r="E77" t="s">
        <v>27</v>
      </c>
      <c r="F77" t="s">
        <v>38</v>
      </c>
      <c r="G77">
        <v>12</v>
      </c>
      <c r="H77">
        <v>4542</v>
      </c>
      <c r="I77">
        <v>0.1</v>
      </c>
      <c r="J77">
        <v>49053.599999999999</v>
      </c>
      <c r="K77">
        <v>8803.1200000000008</v>
      </c>
    </row>
    <row r="78" spans="1:11" x14ac:dyDescent="0.2">
      <c r="A78">
        <v>2076</v>
      </c>
      <c r="B78" s="4">
        <v>45003</v>
      </c>
      <c r="C78" t="s">
        <v>13</v>
      </c>
      <c r="D78" t="s">
        <v>19</v>
      </c>
      <c r="E78" t="s">
        <v>35</v>
      </c>
      <c r="F78" t="s">
        <v>38</v>
      </c>
      <c r="G78">
        <v>4</v>
      </c>
      <c r="H78">
        <v>290</v>
      </c>
      <c r="I78">
        <v>0</v>
      </c>
      <c r="J78">
        <v>1160</v>
      </c>
      <c r="K78">
        <v>99.65</v>
      </c>
    </row>
    <row r="79" spans="1:11" x14ac:dyDescent="0.2">
      <c r="A79">
        <v>2077</v>
      </c>
      <c r="B79" s="4">
        <v>45004</v>
      </c>
      <c r="C79" t="s">
        <v>17</v>
      </c>
      <c r="D79" t="s">
        <v>20</v>
      </c>
      <c r="E79" t="s">
        <v>27</v>
      </c>
      <c r="F79" t="s">
        <v>36</v>
      </c>
      <c r="G79">
        <v>13</v>
      </c>
      <c r="H79">
        <v>6775</v>
      </c>
      <c r="I79">
        <v>0</v>
      </c>
      <c r="J79">
        <v>88075</v>
      </c>
      <c r="K79">
        <v>19596.099999999999</v>
      </c>
    </row>
    <row r="80" spans="1:11" x14ac:dyDescent="0.2">
      <c r="A80">
        <v>2078</v>
      </c>
      <c r="B80" s="4">
        <v>45005</v>
      </c>
      <c r="C80" t="s">
        <v>17</v>
      </c>
      <c r="D80" t="s">
        <v>20</v>
      </c>
      <c r="E80" t="s">
        <v>24</v>
      </c>
      <c r="F80" t="s">
        <v>38</v>
      </c>
      <c r="G80">
        <v>40</v>
      </c>
      <c r="H80">
        <v>3768</v>
      </c>
      <c r="I80">
        <v>0</v>
      </c>
      <c r="J80">
        <v>150720</v>
      </c>
      <c r="K80">
        <v>36505.980000000003</v>
      </c>
    </row>
    <row r="81" spans="1:11" x14ac:dyDescent="0.2">
      <c r="A81">
        <v>2079</v>
      </c>
      <c r="B81" s="4">
        <v>45006</v>
      </c>
      <c r="C81" t="s">
        <v>15</v>
      </c>
      <c r="D81" t="s">
        <v>20</v>
      </c>
      <c r="E81" t="s">
        <v>24</v>
      </c>
      <c r="F81" t="s">
        <v>37</v>
      </c>
      <c r="G81">
        <v>22</v>
      </c>
      <c r="H81">
        <v>6369</v>
      </c>
      <c r="I81">
        <v>0.05</v>
      </c>
      <c r="J81">
        <v>133112.1</v>
      </c>
      <c r="K81">
        <v>14999.44</v>
      </c>
    </row>
    <row r="82" spans="1:11" x14ac:dyDescent="0.2">
      <c r="A82">
        <v>2080</v>
      </c>
      <c r="B82" s="4">
        <v>45007</v>
      </c>
      <c r="C82" t="s">
        <v>14</v>
      </c>
      <c r="D82" t="s">
        <v>22</v>
      </c>
      <c r="E82" t="s">
        <v>30</v>
      </c>
      <c r="F82" t="s">
        <v>38</v>
      </c>
      <c r="G82">
        <v>10</v>
      </c>
      <c r="H82">
        <v>28420</v>
      </c>
      <c r="I82">
        <v>0.1</v>
      </c>
      <c r="J82">
        <v>255780</v>
      </c>
      <c r="K82">
        <v>57059.45</v>
      </c>
    </row>
    <row r="83" spans="1:11" x14ac:dyDescent="0.2">
      <c r="A83">
        <v>2081</v>
      </c>
      <c r="B83" s="4">
        <v>45008</v>
      </c>
      <c r="C83" t="s">
        <v>15</v>
      </c>
      <c r="D83" t="s">
        <v>20</v>
      </c>
      <c r="E83" t="s">
        <v>24</v>
      </c>
      <c r="F83" t="s">
        <v>38</v>
      </c>
      <c r="G83">
        <v>17</v>
      </c>
      <c r="H83">
        <v>3057</v>
      </c>
      <c r="I83">
        <v>0.1</v>
      </c>
      <c r="J83">
        <v>46772.1</v>
      </c>
      <c r="K83">
        <v>4641.84</v>
      </c>
    </row>
    <row r="84" spans="1:11" x14ac:dyDescent="0.2">
      <c r="A84">
        <v>2082</v>
      </c>
      <c r="B84" s="4">
        <v>45009</v>
      </c>
      <c r="C84" t="s">
        <v>15</v>
      </c>
      <c r="D84" t="s">
        <v>20</v>
      </c>
      <c r="E84" t="s">
        <v>24</v>
      </c>
      <c r="F84" t="s">
        <v>37</v>
      </c>
      <c r="G84">
        <v>9</v>
      </c>
      <c r="H84">
        <v>7193</v>
      </c>
      <c r="I84">
        <v>0.05</v>
      </c>
      <c r="J84">
        <v>61500.15</v>
      </c>
      <c r="K84">
        <v>11086.81</v>
      </c>
    </row>
    <row r="85" spans="1:11" x14ac:dyDescent="0.2">
      <c r="A85">
        <v>2083</v>
      </c>
      <c r="B85" s="4">
        <v>45010</v>
      </c>
      <c r="C85" t="s">
        <v>15</v>
      </c>
      <c r="D85" t="s">
        <v>20</v>
      </c>
      <c r="E85" t="s">
        <v>24</v>
      </c>
      <c r="F85" t="s">
        <v>38</v>
      </c>
      <c r="G85">
        <v>30</v>
      </c>
      <c r="H85">
        <v>5860</v>
      </c>
      <c r="I85">
        <v>0</v>
      </c>
      <c r="J85">
        <v>175800</v>
      </c>
      <c r="K85">
        <v>29565.67</v>
      </c>
    </row>
    <row r="86" spans="1:11" x14ac:dyDescent="0.2">
      <c r="A86">
        <v>2084</v>
      </c>
      <c r="B86" s="4">
        <v>45011</v>
      </c>
      <c r="C86" t="s">
        <v>17</v>
      </c>
      <c r="D86" t="s">
        <v>19</v>
      </c>
      <c r="E86" t="s">
        <v>28</v>
      </c>
      <c r="F86" t="s">
        <v>36</v>
      </c>
      <c r="G86">
        <v>2</v>
      </c>
      <c r="H86">
        <v>161</v>
      </c>
      <c r="I86">
        <v>0.05</v>
      </c>
      <c r="J86">
        <v>305.89999999999998</v>
      </c>
      <c r="K86">
        <v>32.53</v>
      </c>
    </row>
    <row r="87" spans="1:11" x14ac:dyDescent="0.2">
      <c r="A87">
        <v>2085</v>
      </c>
      <c r="B87" s="4">
        <v>45012</v>
      </c>
      <c r="C87" t="s">
        <v>12</v>
      </c>
      <c r="D87" t="s">
        <v>21</v>
      </c>
      <c r="E87" t="s">
        <v>31</v>
      </c>
      <c r="F87" t="s">
        <v>36</v>
      </c>
      <c r="G87">
        <v>8</v>
      </c>
      <c r="H87">
        <v>129711</v>
      </c>
      <c r="I87">
        <v>0.1</v>
      </c>
      <c r="J87">
        <v>933919.2</v>
      </c>
      <c r="K87">
        <v>218548.7</v>
      </c>
    </row>
    <row r="88" spans="1:11" x14ac:dyDescent="0.2">
      <c r="A88">
        <v>2086</v>
      </c>
      <c r="B88" s="4">
        <v>45013</v>
      </c>
      <c r="C88" t="s">
        <v>16</v>
      </c>
      <c r="D88" t="s">
        <v>19</v>
      </c>
      <c r="E88" t="s">
        <v>25</v>
      </c>
      <c r="F88" t="s">
        <v>37</v>
      </c>
      <c r="G88">
        <v>4</v>
      </c>
      <c r="H88">
        <v>739</v>
      </c>
      <c r="I88">
        <v>0.1</v>
      </c>
      <c r="J88">
        <v>2660.4</v>
      </c>
      <c r="K88">
        <v>368.49</v>
      </c>
    </row>
    <row r="89" spans="1:11" x14ac:dyDescent="0.2">
      <c r="A89">
        <v>2087</v>
      </c>
      <c r="B89" s="4">
        <v>45014</v>
      </c>
      <c r="C89" t="s">
        <v>18</v>
      </c>
      <c r="D89" t="s">
        <v>22</v>
      </c>
      <c r="E89" t="s">
        <v>34</v>
      </c>
      <c r="F89" t="s">
        <v>38</v>
      </c>
      <c r="G89">
        <v>24</v>
      </c>
      <c r="H89">
        <v>53999</v>
      </c>
      <c r="I89">
        <v>0.05</v>
      </c>
      <c r="J89">
        <v>1231177.2</v>
      </c>
      <c r="K89">
        <v>294472.94</v>
      </c>
    </row>
    <row r="90" spans="1:11" x14ac:dyDescent="0.2">
      <c r="A90">
        <v>2088</v>
      </c>
      <c r="B90" s="4">
        <v>45015</v>
      </c>
      <c r="C90" t="s">
        <v>14</v>
      </c>
      <c r="D90" t="s">
        <v>19</v>
      </c>
      <c r="E90" t="s">
        <v>35</v>
      </c>
      <c r="F90" t="s">
        <v>37</v>
      </c>
      <c r="G90">
        <v>2</v>
      </c>
      <c r="H90">
        <v>333</v>
      </c>
      <c r="I90">
        <v>0</v>
      </c>
      <c r="J90">
        <v>666</v>
      </c>
      <c r="K90">
        <v>77.42</v>
      </c>
    </row>
    <row r="91" spans="1:11" x14ac:dyDescent="0.2">
      <c r="A91">
        <v>2089</v>
      </c>
      <c r="B91" s="4">
        <v>45016</v>
      </c>
      <c r="C91" t="s">
        <v>15</v>
      </c>
      <c r="D91" t="s">
        <v>20</v>
      </c>
      <c r="E91" t="s">
        <v>27</v>
      </c>
      <c r="F91" t="s">
        <v>36</v>
      </c>
      <c r="G91">
        <v>7</v>
      </c>
      <c r="H91">
        <v>7176</v>
      </c>
      <c r="I91">
        <v>0</v>
      </c>
      <c r="J91">
        <v>50232</v>
      </c>
      <c r="K91">
        <v>10255.4</v>
      </c>
    </row>
    <row r="92" spans="1:11" x14ac:dyDescent="0.2">
      <c r="A92">
        <v>2090</v>
      </c>
      <c r="B92" s="4">
        <v>45017</v>
      </c>
      <c r="C92" t="s">
        <v>13</v>
      </c>
      <c r="D92" t="s">
        <v>22</v>
      </c>
      <c r="E92" t="s">
        <v>33</v>
      </c>
      <c r="F92" t="s">
        <v>38</v>
      </c>
      <c r="G92">
        <v>23</v>
      </c>
      <c r="H92">
        <v>74141</v>
      </c>
      <c r="I92">
        <v>0.1</v>
      </c>
      <c r="J92">
        <v>1534718.7</v>
      </c>
      <c r="K92">
        <v>180498.71</v>
      </c>
    </row>
    <row r="93" spans="1:11" x14ac:dyDescent="0.2">
      <c r="A93">
        <v>2091</v>
      </c>
      <c r="B93" s="4">
        <v>45018</v>
      </c>
      <c r="C93" t="s">
        <v>17</v>
      </c>
      <c r="D93" t="s">
        <v>19</v>
      </c>
      <c r="E93" t="s">
        <v>32</v>
      </c>
      <c r="F93" t="s">
        <v>37</v>
      </c>
      <c r="G93">
        <v>14</v>
      </c>
      <c r="H93">
        <v>679</v>
      </c>
      <c r="I93">
        <v>0.1</v>
      </c>
      <c r="J93">
        <v>8555.4</v>
      </c>
      <c r="K93">
        <v>1063.42</v>
      </c>
    </row>
    <row r="94" spans="1:11" x14ac:dyDescent="0.2">
      <c r="A94">
        <v>2092</v>
      </c>
      <c r="B94" s="4">
        <v>45019</v>
      </c>
      <c r="C94" t="s">
        <v>14</v>
      </c>
      <c r="D94" t="s">
        <v>21</v>
      </c>
      <c r="E94" t="s">
        <v>31</v>
      </c>
      <c r="F94" t="s">
        <v>37</v>
      </c>
      <c r="G94">
        <v>32</v>
      </c>
      <c r="H94">
        <v>34178</v>
      </c>
      <c r="I94">
        <v>0.1</v>
      </c>
      <c r="J94">
        <v>984326.4</v>
      </c>
      <c r="K94">
        <v>84861.82</v>
      </c>
    </row>
    <row r="95" spans="1:11" x14ac:dyDescent="0.2">
      <c r="A95">
        <v>2093</v>
      </c>
      <c r="B95" s="4">
        <v>45020</v>
      </c>
      <c r="C95" t="s">
        <v>18</v>
      </c>
      <c r="D95" t="s">
        <v>21</v>
      </c>
      <c r="E95" t="s">
        <v>29</v>
      </c>
      <c r="F95" t="s">
        <v>37</v>
      </c>
      <c r="G95">
        <v>27</v>
      </c>
      <c r="H95">
        <v>65037</v>
      </c>
      <c r="I95">
        <v>0</v>
      </c>
      <c r="J95">
        <v>1755999</v>
      </c>
      <c r="K95">
        <v>380293.55</v>
      </c>
    </row>
    <row r="96" spans="1:11" x14ac:dyDescent="0.2">
      <c r="A96">
        <v>2094</v>
      </c>
      <c r="B96" s="4">
        <v>45021</v>
      </c>
      <c r="C96" t="s">
        <v>17</v>
      </c>
      <c r="D96" t="s">
        <v>20</v>
      </c>
      <c r="E96" t="s">
        <v>24</v>
      </c>
      <c r="F96" t="s">
        <v>38</v>
      </c>
      <c r="G96">
        <v>31</v>
      </c>
      <c r="H96">
        <v>6757</v>
      </c>
      <c r="I96">
        <v>0.05</v>
      </c>
      <c r="J96">
        <v>198993.65</v>
      </c>
      <c r="K96">
        <v>47671.07</v>
      </c>
    </row>
    <row r="97" spans="1:11" x14ac:dyDescent="0.2">
      <c r="A97">
        <v>2095</v>
      </c>
      <c r="B97" s="4">
        <v>45022</v>
      </c>
      <c r="C97" t="s">
        <v>17</v>
      </c>
      <c r="D97" t="s">
        <v>20</v>
      </c>
      <c r="E97" t="s">
        <v>27</v>
      </c>
      <c r="F97" t="s">
        <v>36</v>
      </c>
      <c r="G97">
        <v>19</v>
      </c>
      <c r="H97">
        <v>7007</v>
      </c>
      <c r="I97">
        <v>0</v>
      </c>
      <c r="J97">
        <v>133133</v>
      </c>
      <c r="K97">
        <v>17045.759999999998</v>
      </c>
    </row>
    <row r="98" spans="1:11" x14ac:dyDescent="0.2">
      <c r="A98">
        <v>2096</v>
      </c>
      <c r="B98" s="4">
        <v>45023</v>
      </c>
      <c r="C98" t="s">
        <v>16</v>
      </c>
      <c r="D98" t="s">
        <v>22</v>
      </c>
      <c r="E98" t="s">
        <v>33</v>
      </c>
      <c r="F98" t="s">
        <v>36</v>
      </c>
      <c r="G98">
        <v>34</v>
      </c>
      <c r="H98">
        <v>164129</v>
      </c>
      <c r="I98">
        <v>0</v>
      </c>
      <c r="J98">
        <v>5580386</v>
      </c>
      <c r="K98">
        <v>591074.56000000006</v>
      </c>
    </row>
    <row r="99" spans="1:11" x14ac:dyDescent="0.2">
      <c r="A99">
        <v>2097</v>
      </c>
      <c r="B99" s="4">
        <v>45024</v>
      </c>
      <c r="C99" t="s">
        <v>12</v>
      </c>
      <c r="D99" t="s">
        <v>21</v>
      </c>
      <c r="E99" t="s">
        <v>31</v>
      </c>
      <c r="F99" t="s">
        <v>37</v>
      </c>
      <c r="G99">
        <v>10</v>
      </c>
      <c r="H99">
        <v>84422</v>
      </c>
      <c r="I99">
        <v>0.05</v>
      </c>
      <c r="J99">
        <v>802009</v>
      </c>
      <c r="K99">
        <v>173165.79</v>
      </c>
    </row>
    <row r="100" spans="1:11" x14ac:dyDescent="0.2">
      <c r="A100">
        <v>2098</v>
      </c>
      <c r="B100" s="4">
        <v>45025</v>
      </c>
      <c r="C100" t="s">
        <v>15</v>
      </c>
      <c r="D100" t="s">
        <v>21</v>
      </c>
      <c r="E100" t="s">
        <v>29</v>
      </c>
      <c r="F100" t="s">
        <v>37</v>
      </c>
      <c r="G100">
        <v>30</v>
      </c>
      <c r="H100">
        <v>154135</v>
      </c>
      <c r="I100">
        <v>0.1</v>
      </c>
      <c r="J100">
        <v>4161645</v>
      </c>
      <c r="K100">
        <v>536608.74</v>
      </c>
    </row>
    <row r="101" spans="1:11" x14ac:dyDescent="0.2">
      <c r="A101">
        <v>2099</v>
      </c>
      <c r="B101" s="4">
        <v>45026</v>
      </c>
      <c r="C101" t="s">
        <v>13</v>
      </c>
      <c r="D101" t="s">
        <v>19</v>
      </c>
      <c r="E101" t="s">
        <v>28</v>
      </c>
      <c r="F101" t="s">
        <v>37</v>
      </c>
      <c r="G101">
        <v>15</v>
      </c>
      <c r="H101">
        <v>340</v>
      </c>
      <c r="I101">
        <v>0.1</v>
      </c>
      <c r="J101">
        <v>4590</v>
      </c>
      <c r="K101">
        <v>1093.3800000000001</v>
      </c>
    </row>
    <row r="102" spans="1:11" x14ac:dyDescent="0.2">
      <c r="A102">
        <v>2100</v>
      </c>
      <c r="B102" s="4">
        <v>45027</v>
      </c>
      <c r="C102" t="s">
        <v>11</v>
      </c>
      <c r="D102" t="s">
        <v>19</v>
      </c>
      <c r="E102" t="s">
        <v>32</v>
      </c>
      <c r="F102" t="s">
        <v>38</v>
      </c>
      <c r="G102">
        <v>12</v>
      </c>
      <c r="H102">
        <v>213</v>
      </c>
      <c r="I102">
        <v>0.1</v>
      </c>
      <c r="J102">
        <v>2300.4</v>
      </c>
      <c r="K102">
        <v>229.75</v>
      </c>
    </row>
    <row r="103" spans="1:11" x14ac:dyDescent="0.2">
      <c r="A103">
        <v>2101</v>
      </c>
      <c r="B103" s="4">
        <v>45028</v>
      </c>
      <c r="C103" t="s">
        <v>13</v>
      </c>
      <c r="D103" t="s">
        <v>19</v>
      </c>
      <c r="E103" t="s">
        <v>35</v>
      </c>
      <c r="F103" t="s">
        <v>38</v>
      </c>
      <c r="G103">
        <v>2</v>
      </c>
      <c r="H103">
        <v>647</v>
      </c>
      <c r="I103">
        <v>0.1</v>
      </c>
      <c r="J103">
        <v>1164.5999999999999</v>
      </c>
      <c r="K103">
        <v>281.83</v>
      </c>
    </row>
    <row r="104" spans="1:11" x14ac:dyDescent="0.2">
      <c r="A104">
        <v>2102</v>
      </c>
      <c r="B104" s="4">
        <v>45029</v>
      </c>
      <c r="C104" t="s">
        <v>18</v>
      </c>
      <c r="D104" t="s">
        <v>19</v>
      </c>
      <c r="E104" t="s">
        <v>35</v>
      </c>
      <c r="F104" t="s">
        <v>37</v>
      </c>
      <c r="G104">
        <v>18</v>
      </c>
      <c r="H104">
        <v>410</v>
      </c>
      <c r="I104">
        <v>0</v>
      </c>
      <c r="J104">
        <v>7380</v>
      </c>
      <c r="K104">
        <v>1840.53</v>
      </c>
    </row>
    <row r="105" spans="1:11" x14ac:dyDescent="0.2">
      <c r="A105">
        <v>2103</v>
      </c>
      <c r="B105" s="4">
        <v>45030</v>
      </c>
      <c r="C105" t="s">
        <v>14</v>
      </c>
      <c r="D105" t="s">
        <v>21</v>
      </c>
      <c r="E105" t="s">
        <v>26</v>
      </c>
      <c r="F105" t="s">
        <v>38</v>
      </c>
      <c r="G105">
        <v>12</v>
      </c>
      <c r="H105">
        <v>138371</v>
      </c>
      <c r="I105">
        <v>0.1</v>
      </c>
      <c r="J105">
        <v>1494406.8</v>
      </c>
      <c r="K105">
        <v>348209.39</v>
      </c>
    </row>
    <row r="106" spans="1:11" x14ac:dyDescent="0.2">
      <c r="A106">
        <v>2104</v>
      </c>
      <c r="B106" s="4">
        <v>45031</v>
      </c>
      <c r="C106" t="s">
        <v>17</v>
      </c>
      <c r="D106" t="s">
        <v>19</v>
      </c>
      <c r="E106" t="s">
        <v>32</v>
      </c>
      <c r="F106" t="s">
        <v>36</v>
      </c>
      <c r="G106">
        <v>18</v>
      </c>
      <c r="H106">
        <v>513</v>
      </c>
      <c r="I106">
        <v>0.05</v>
      </c>
      <c r="J106">
        <v>8772.2999999999993</v>
      </c>
      <c r="K106">
        <v>1632.72</v>
      </c>
    </row>
    <row r="107" spans="1:11" x14ac:dyDescent="0.2">
      <c r="A107">
        <v>2105</v>
      </c>
      <c r="B107" s="4">
        <v>45032</v>
      </c>
      <c r="C107" t="s">
        <v>14</v>
      </c>
      <c r="D107" t="s">
        <v>21</v>
      </c>
      <c r="E107" t="s">
        <v>31</v>
      </c>
      <c r="F107" t="s">
        <v>37</v>
      </c>
      <c r="G107">
        <v>12</v>
      </c>
      <c r="H107">
        <v>131114</v>
      </c>
      <c r="I107">
        <v>0.1</v>
      </c>
      <c r="J107">
        <v>1416031.2</v>
      </c>
      <c r="K107">
        <v>330785.3</v>
      </c>
    </row>
    <row r="108" spans="1:11" x14ac:dyDescent="0.2">
      <c r="A108">
        <v>2106</v>
      </c>
      <c r="B108" s="4">
        <v>45033</v>
      </c>
      <c r="C108" t="s">
        <v>11</v>
      </c>
      <c r="D108" t="s">
        <v>20</v>
      </c>
      <c r="E108" t="s">
        <v>27</v>
      </c>
      <c r="F108" t="s">
        <v>37</v>
      </c>
      <c r="G108">
        <v>36</v>
      </c>
      <c r="H108">
        <v>4952</v>
      </c>
      <c r="I108">
        <v>0.1</v>
      </c>
      <c r="J108">
        <v>160444.79999999999</v>
      </c>
      <c r="K108">
        <v>29093.83</v>
      </c>
    </row>
    <row r="109" spans="1:11" x14ac:dyDescent="0.2">
      <c r="A109">
        <v>2107</v>
      </c>
      <c r="B109" s="4">
        <v>45034</v>
      </c>
      <c r="C109" t="s">
        <v>16</v>
      </c>
      <c r="D109" t="s">
        <v>20</v>
      </c>
      <c r="E109" t="s">
        <v>24</v>
      </c>
      <c r="F109" t="s">
        <v>37</v>
      </c>
      <c r="G109">
        <v>13</v>
      </c>
      <c r="H109">
        <v>4998</v>
      </c>
      <c r="I109">
        <v>0.05</v>
      </c>
      <c r="J109">
        <v>61725.3</v>
      </c>
      <c r="K109">
        <v>13085.86</v>
      </c>
    </row>
    <row r="110" spans="1:11" x14ac:dyDescent="0.2">
      <c r="A110">
        <v>2108</v>
      </c>
      <c r="B110" s="4">
        <v>45035</v>
      </c>
      <c r="C110" t="s">
        <v>18</v>
      </c>
      <c r="D110" t="s">
        <v>22</v>
      </c>
      <c r="E110" t="s">
        <v>30</v>
      </c>
      <c r="F110" t="s">
        <v>37</v>
      </c>
      <c r="G110">
        <v>13</v>
      </c>
      <c r="H110">
        <v>148257</v>
      </c>
      <c r="I110">
        <v>0.05</v>
      </c>
      <c r="J110">
        <v>1830973.95</v>
      </c>
      <c r="K110">
        <v>430466.27</v>
      </c>
    </row>
    <row r="111" spans="1:11" x14ac:dyDescent="0.2">
      <c r="A111">
        <v>2109</v>
      </c>
      <c r="B111" s="4">
        <v>45036</v>
      </c>
      <c r="C111" t="s">
        <v>13</v>
      </c>
      <c r="D111" t="s">
        <v>19</v>
      </c>
      <c r="E111" t="s">
        <v>35</v>
      </c>
      <c r="F111" t="s">
        <v>38</v>
      </c>
      <c r="G111">
        <v>36</v>
      </c>
      <c r="H111">
        <v>384</v>
      </c>
      <c r="I111">
        <v>0.05</v>
      </c>
      <c r="J111">
        <v>13132.8</v>
      </c>
      <c r="K111">
        <v>3013.68</v>
      </c>
    </row>
    <row r="112" spans="1:11" x14ac:dyDescent="0.2">
      <c r="A112">
        <v>2110</v>
      </c>
      <c r="B112" s="4">
        <v>45037</v>
      </c>
      <c r="C112" t="s">
        <v>13</v>
      </c>
      <c r="D112" t="s">
        <v>22</v>
      </c>
      <c r="E112" t="s">
        <v>34</v>
      </c>
      <c r="F112" t="s">
        <v>36</v>
      </c>
      <c r="G112">
        <v>1</v>
      </c>
      <c r="H112">
        <v>169245</v>
      </c>
      <c r="I112">
        <v>0</v>
      </c>
      <c r="J112">
        <v>169245</v>
      </c>
      <c r="K112">
        <v>40142.089999999997</v>
      </c>
    </row>
    <row r="113" spans="1:11" x14ac:dyDescent="0.2">
      <c r="A113">
        <v>2111</v>
      </c>
      <c r="B113" s="4">
        <v>45038</v>
      </c>
      <c r="C113" t="s">
        <v>15</v>
      </c>
      <c r="D113" t="s">
        <v>19</v>
      </c>
      <c r="E113" t="s">
        <v>35</v>
      </c>
      <c r="F113" t="s">
        <v>37</v>
      </c>
      <c r="G113">
        <v>13</v>
      </c>
      <c r="H113">
        <v>795</v>
      </c>
      <c r="I113">
        <v>0.1</v>
      </c>
      <c r="J113">
        <v>9301.5</v>
      </c>
      <c r="K113">
        <v>2175.0700000000002</v>
      </c>
    </row>
    <row r="114" spans="1:11" x14ac:dyDescent="0.2">
      <c r="A114">
        <v>2112</v>
      </c>
      <c r="B114" s="4">
        <v>45039</v>
      </c>
      <c r="C114" t="s">
        <v>15</v>
      </c>
      <c r="D114" t="s">
        <v>22</v>
      </c>
      <c r="E114" t="s">
        <v>34</v>
      </c>
      <c r="F114" t="s">
        <v>37</v>
      </c>
      <c r="G114">
        <v>21</v>
      </c>
      <c r="H114">
        <v>230977</v>
      </c>
      <c r="I114">
        <v>0</v>
      </c>
      <c r="J114">
        <v>4850517</v>
      </c>
      <c r="K114">
        <v>706051.76</v>
      </c>
    </row>
    <row r="115" spans="1:11" x14ac:dyDescent="0.2">
      <c r="A115">
        <v>2113</v>
      </c>
      <c r="B115" s="4">
        <v>45040</v>
      </c>
      <c r="C115" t="s">
        <v>11</v>
      </c>
      <c r="D115" t="s">
        <v>20</v>
      </c>
      <c r="E115" t="s">
        <v>27</v>
      </c>
      <c r="F115" t="s">
        <v>38</v>
      </c>
      <c r="G115">
        <v>28</v>
      </c>
      <c r="H115">
        <v>6421</v>
      </c>
      <c r="I115">
        <v>0.05</v>
      </c>
      <c r="J115">
        <v>170798.6</v>
      </c>
      <c r="K115">
        <v>17275.330000000002</v>
      </c>
    </row>
    <row r="116" spans="1:11" x14ac:dyDescent="0.2">
      <c r="A116">
        <v>2114</v>
      </c>
      <c r="B116" s="4">
        <v>45041</v>
      </c>
      <c r="C116" t="s">
        <v>15</v>
      </c>
      <c r="D116" t="s">
        <v>21</v>
      </c>
      <c r="E116" t="s">
        <v>29</v>
      </c>
      <c r="F116" t="s">
        <v>38</v>
      </c>
      <c r="G116">
        <v>9</v>
      </c>
      <c r="H116">
        <v>108442</v>
      </c>
      <c r="I116">
        <v>0.05</v>
      </c>
      <c r="J116">
        <v>927179.1</v>
      </c>
      <c r="K116">
        <v>203839.51</v>
      </c>
    </row>
    <row r="117" spans="1:11" x14ac:dyDescent="0.2">
      <c r="A117">
        <v>2115</v>
      </c>
      <c r="B117" s="4">
        <v>45042</v>
      </c>
      <c r="C117" t="s">
        <v>16</v>
      </c>
      <c r="D117" t="s">
        <v>21</v>
      </c>
      <c r="E117" t="s">
        <v>29</v>
      </c>
      <c r="F117" t="s">
        <v>38</v>
      </c>
      <c r="G117">
        <v>37</v>
      </c>
      <c r="H117">
        <v>66855</v>
      </c>
      <c r="I117">
        <v>0.1</v>
      </c>
      <c r="J117">
        <v>2226271.5</v>
      </c>
      <c r="K117">
        <v>484382.04</v>
      </c>
    </row>
    <row r="118" spans="1:11" x14ac:dyDescent="0.2">
      <c r="A118">
        <v>2116</v>
      </c>
      <c r="B118" s="4">
        <v>45043</v>
      </c>
      <c r="C118" t="s">
        <v>11</v>
      </c>
      <c r="D118" t="s">
        <v>21</v>
      </c>
      <c r="E118" t="s">
        <v>26</v>
      </c>
      <c r="F118" t="s">
        <v>37</v>
      </c>
      <c r="G118">
        <v>4</v>
      </c>
      <c r="H118">
        <v>65994</v>
      </c>
      <c r="I118">
        <v>0</v>
      </c>
      <c r="J118">
        <v>263976</v>
      </c>
      <c r="K118">
        <v>23471.7</v>
      </c>
    </row>
    <row r="119" spans="1:11" x14ac:dyDescent="0.2">
      <c r="A119">
        <v>2117</v>
      </c>
      <c r="B119" s="4">
        <v>45044</v>
      </c>
      <c r="C119" t="s">
        <v>11</v>
      </c>
      <c r="D119" t="s">
        <v>20</v>
      </c>
      <c r="E119" t="s">
        <v>24</v>
      </c>
      <c r="F119" t="s">
        <v>37</v>
      </c>
      <c r="G119">
        <v>27</v>
      </c>
      <c r="H119">
        <v>7655</v>
      </c>
      <c r="I119">
        <v>0</v>
      </c>
      <c r="J119">
        <v>206685</v>
      </c>
      <c r="K119">
        <v>33433.089999999997</v>
      </c>
    </row>
    <row r="120" spans="1:11" x14ac:dyDescent="0.2">
      <c r="A120">
        <v>2118</v>
      </c>
      <c r="B120" s="4">
        <v>45045</v>
      </c>
      <c r="C120" t="s">
        <v>18</v>
      </c>
      <c r="D120" t="s">
        <v>21</v>
      </c>
      <c r="E120" t="s">
        <v>31</v>
      </c>
      <c r="F120" t="s">
        <v>38</v>
      </c>
      <c r="G120">
        <v>26</v>
      </c>
      <c r="H120">
        <v>154499</v>
      </c>
      <c r="I120">
        <v>0.05</v>
      </c>
      <c r="J120">
        <v>3816125.3</v>
      </c>
      <c r="K120">
        <v>887188.89</v>
      </c>
    </row>
    <row r="121" spans="1:11" x14ac:dyDescent="0.2">
      <c r="A121">
        <v>2119</v>
      </c>
      <c r="B121" s="4">
        <v>45046</v>
      </c>
      <c r="C121" t="s">
        <v>11</v>
      </c>
      <c r="D121" t="s">
        <v>20</v>
      </c>
      <c r="E121" t="s">
        <v>24</v>
      </c>
      <c r="F121" t="s">
        <v>36</v>
      </c>
      <c r="G121">
        <v>33</v>
      </c>
      <c r="H121">
        <v>4638</v>
      </c>
      <c r="I121">
        <v>0.05</v>
      </c>
      <c r="J121">
        <v>145401.29999999999</v>
      </c>
      <c r="K121">
        <v>30036.92</v>
      </c>
    </row>
    <row r="122" spans="1:11" x14ac:dyDescent="0.2">
      <c r="A122">
        <v>2120</v>
      </c>
      <c r="B122" s="4">
        <v>45047</v>
      </c>
      <c r="C122" t="s">
        <v>11</v>
      </c>
      <c r="D122" t="s">
        <v>22</v>
      </c>
      <c r="E122" t="s">
        <v>30</v>
      </c>
      <c r="F122" t="s">
        <v>38</v>
      </c>
      <c r="G122">
        <v>26</v>
      </c>
      <c r="H122">
        <v>182062</v>
      </c>
      <c r="I122">
        <v>0.05</v>
      </c>
      <c r="J122">
        <v>4496931.4000000004</v>
      </c>
      <c r="K122">
        <v>594369.02</v>
      </c>
    </row>
    <row r="123" spans="1:11" x14ac:dyDescent="0.2">
      <c r="A123">
        <v>2121</v>
      </c>
      <c r="B123" s="4">
        <v>45048</v>
      </c>
      <c r="C123" t="s">
        <v>11</v>
      </c>
      <c r="D123" t="s">
        <v>21</v>
      </c>
      <c r="E123" t="s">
        <v>29</v>
      </c>
      <c r="F123" t="s">
        <v>37</v>
      </c>
      <c r="G123">
        <v>15</v>
      </c>
      <c r="H123">
        <v>59399</v>
      </c>
      <c r="I123">
        <v>0.1</v>
      </c>
      <c r="J123">
        <v>801886.5</v>
      </c>
      <c r="K123">
        <v>88851.04</v>
      </c>
    </row>
    <row r="124" spans="1:11" x14ac:dyDescent="0.2">
      <c r="A124">
        <v>2122</v>
      </c>
      <c r="B124" s="4">
        <v>45049</v>
      </c>
      <c r="C124" t="s">
        <v>11</v>
      </c>
      <c r="D124" t="s">
        <v>19</v>
      </c>
      <c r="E124" t="s">
        <v>25</v>
      </c>
      <c r="F124" t="s">
        <v>37</v>
      </c>
      <c r="G124">
        <v>18</v>
      </c>
      <c r="H124">
        <v>197</v>
      </c>
      <c r="I124">
        <v>0.1</v>
      </c>
      <c r="J124">
        <v>3191.4</v>
      </c>
      <c r="K124">
        <v>268.54000000000002</v>
      </c>
    </row>
    <row r="125" spans="1:11" x14ac:dyDescent="0.2">
      <c r="A125">
        <v>2123</v>
      </c>
      <c r="B125" s="4">
        <v>45050</v>
      </c>
      <c r="C125" t="s">
        <v>16</v>
      </c>
      <c r="D125" t="s">
        <v>21</v>
      </c>
      <c r="E125" t="s">
        <v>29</v>
      </c>
      <c r="F125" t="s">
        <v>38</v>
      </c>
      <c r="G125">
        <v>32</v>
      </c>
      <c r="H125">
        <v>82094</v>
      </c>
      <c r="I125">
        <v>0.1</v>
      </c>
      <c r="J125">
        <v>2364307.2000000002</v>
      </c>
      <c r="K125">
        <v>336787.87</v>
      </c>
    </row>
    <row r="126" spans="1:11" x14ac:dyDescent="0.2">
      <c r="A126">
        <v>2124</v>
      </c>
      <c r="B126" s="4">
        <v>45051</v>
      </c>
      <c r="C126" t="s">
        <v>14</v>
      </c>
      <c r="D126" t="s">
        <v>21</v>
      </c>
      <c r="E126" t="s">
        <v>26</v>
      </c>
      <c r="F126" t="s">
        <v>36</v>
      </c>
      <c r="G126">
        <v>22</v>
      </c>
      <c r="H126">
        <v>32781</v>
      </c>
      <c r="I126">
        <v>0</v>
      </c>
      <c r="J126">
        <v>721182</v>
      </c>
      <c r="K126">
        <v>111856.11</v>
      </c>
    </row>
    <row r="127" spans="1:11" x14ac:dyDescent="0.2">
      <c r="A127">
        <v>2125</v>
      </c>
      <c r="B127" s="4">
        <v>45052</v>
      </c>
      <c r="C127" t="s">
        <v>18</v>
      </c>
      <c r="D127" t="s">
        <v>20</v>
      </c>
      <c r="E127" t="s">
        <v>24</v>
      </c>
      <c r="F127" t="s">
        <v>38</v>
      </c>
      <c r="G127">
        <v>34</v>
      </c>
      <c r="H127">
        <v>3638</v>
      </c>
      <c r="I127">
        <v>0.05</v>
      </c>
      <c r="J127">
        <v>117507.4</v>
      </c>
      <c r="K127">
        <v>20038.810000000001</v>
      </c>
    </row>
    <row r="128" spans="1:11" x14ac:dyDescent="0.2">
      <c r="A128">
        <v>2126</v>
      </c>
      <c r="B128" s="4">
        <v>45053</v>
      </c>
      <c r="C128" t="s">
        <v>11</v>
      </c>
      <c r="D128" t="s">
        <v>20</v>
      </c>
      <c r="E128" t="s">
        <v>27</v>
      </c>
      <c r="F128" t="s">
        <v>36</v>
      </c>
      <c r="G128">
        <v>7</v>
      </c>
      <c r="H128">
        <v>6545</v>
      </c>
      <c r="I128">
        <v>0</v>
      </c>
      <c r="J128">
        <v>45815</v>
      </c>
      <c r="K128">
        <v>9764.9599999999991</v>
      </c>
    </row>
    <row r="129" spans="1:11" x14ac:dyDescent="0.2">
      <c r="A129">
        <v>2127</v>
      </c>
      <c r="B129" s="4">
        <v>45054</v>
      </c>
      <c r="C129" t="s">
        <v>13</v>
      </c>
      <c r="D129" t="s">
        <v>22</v>
      </c>
      <c r="E129" t="s">
        <v>30</v>
      </c>
      <c r="F129" t="s">
        <v>36</v>
      </c>
      <c r="G129">
        <v>1</v>
      </c>
      <c r="H129">
        <v>53708</v>
      </c>
      <c r="I129">
        <v>0</v>
      </c>
      <c r="J129">
        <v>53708</v>
      </c>
      <c r="K129">
        <v>5303.73</v>
      </c>
    </row>
    <row r="130" spans="1:11" x14ac:dyDescent="0.2">
      <c r="A130">
        <v>2128</v>
      </c>
      <c r="B130" s="4">
        <v>45055</v>
      </c>
      <c r="C130" t="s">
        <v>11</v>
      </c>
      <c r="D130" t="s">
        <v>22</v>
      </c>
      <c r="E130" t="s">
        <v>34</v>
      </c>
      <c r="F130" t="s">
        <v>38</v>
      </c>
      <c r="G130">
        <v>24</v>
      </c>
      <c r="H130">
        <v>166649</v>
      </c>
      <c r="I130">
        <v>0</v>
      </c>
      <c r="J130">
        <v>3999576</v>
      </c>
      <c r="K130">
        <v>589290.28</v>
      </c>
    </row>
    <row r="131" spans="1:11" x14ac:dyDescent="0.2">
      <c r="A131">
        <v>2129</v>
      </c>
      <c r="B131" s="4">
        <v>45056</v>
      </c>
      <c r="C131" t="s">
        <v>17</v>
      </c>
      <c r="D131" t="s">
        <v>19</v>
      </c>
      <c r="E131" t="s">
        <v>35</v>
      </c>
      <c r="F131" t="s">
        <v>37</v>
      </c>
      <c r="G131">
        <v>31</v>
      </c>
      <c r="H131">
        <v>398</v>
      </c>
      <c r="I131">
        <v>0.05</v>
      </c>
      <c r="J131">
        <v>11721.1</v>
      </c>
      <c r="K131">
        <v>2135.5100000000002</v>
      </c>
    </row>
    <row r="132" spans="1:11" x14ac:dyDescent="0.2">
      <c r="A132">
        <v>2130</v>
      </c>
      <c r="B132" s="4">
        <v>45057</v>
      </c>
      <c r="C132" t="s">
        <v>11</v>
      </c>
      <c r="D132" t="s">
        <v>22</v>
      </c>
      <c r="E132" t="s">
        <v>33</v>
      </c>
      <c r="F132" t="s">
        <v>37</v>
      </c>
      <c r="G132">
        <v>5</v>
      </c>
      <c r="H132">
        <v>91380</v>
      </c>
      <c r="I132">
        <v>0</v>
      </c>
      <c r="J132">
        <v>456900</v>
      </c>
      <c r="K132">
        <v>44308.38</v>
      </c>
    </row>
    <row r="133" spans="1:11" x14ac:dyDescent="0.2">
      <c r="A133">
        <v>2131</v>
      </c>
      <c r="B133" s="4">
        <v>45058</v>
      </c>
      <c r="C133" t="s">
        <v>16</v>
      </c>
      <c r="D133" t="s">
        <v>21</v>
      </c>
      <c r="E133" t="s">
        <v>31</v>
      </c>
      <c r="F133" t="s">
        <v>36</v>
      </c>
      <c r="G133">
        <v>21</v>
      </c>
      <c r="H133">
        <v>59035</v>
      </c>
      <c r="I133">
        <v>0</v>
      </c>
      <c r="J133">
        <v>1239735</v>
      </c>
      <c r="K133">
        <v>191609.84</v>
      </c>
    </row>
    <row r="134" spans="1:11" x14ac:dyDescent="0.2">
      <c r="A134">
        <v>2132</v>
      </c>
      <c r="B134" s="4">
        <v>45059</v>
      </c>
      <c r="C134" t="s">
        <v>14</v>
      </c>
      <c r="D134" t="s">
        <v>22</v>
      </c>
      <c r="E134" t="s">
        <v>30</v>
      </c>
      <c r="F134" t="s">
        <v>37</v>
      </c>
      <c r="G134">
        <v>10</v>
      </c>
      <c r="H134">
        <v>208100</v>
      </c>
      <c r="I134">
        <v>0.05</v>
      </c>
      <c r="J134">
        <v>1976950</v>
      </c>
      <c r="K134">
        <v>204812.37</v>
      </c>
    </row>
    <row r="135" spans="1:11" x14ac:dyDescent="0.2">
      <c r="A135">
        <v>2133</v>
      </c>
      <c r="B135" s="4">
        <v>45060</v>
      </c>
      <c r="C135" t="s">
        <v>14</v>
      </c>
      <c r="D135" t="s">
        <v>21</v>
      </c>
      <c r="E135" t="s">
        <v>31</v>
      </c>
      <c r="F135" t="s">
        <v>37</v>
      </c>
      <c r="G135">
        <v>2</v>
      </c>
      <c r="H135">
        <v>63432</v>
      </c>
      <c r="I135">
        <v>0.1</v>
      </c>
      <c r="J135">
        <v>114177.60000000001</v>
      </c>
      <c r="K135">
        <v>25802.09</v>
      </c>
    </row>
    <row r="136" spans="1:11" x14ac:dyDescent="0.2">
      <c r="A136">
        <v>2134</v>
      </c>
      <c r="B136" s="4">
        <v>45061</v>
      </c>
      <c r="C136" t="s">
        <v>17</v>
      </c>
      <c r="D136" t="s">
        <v>20</v>
      </c>
      <c r="E136" t="s">
        <v>24</v>
      </c>
      <c r="F136" t="s">
        <v>38</v>
      </c>
      <c r="G136">
        <v>3</v>
      </c>
      <c r="H136">
        <v>7755</v>
      </c>
      <c r="I136">
        <v>0</v>
      </c>
      <c r="J136">
        <v>23265</v>
      </c>
      <c r="K136">
        <v>2168.38</v>
      </c>
    </row>
    <row r="137" spans="1:11" x14ac:dyDescent="0.2">
      <c r="A137">
        <v>2135</v>
      </c>
      <c r="B137" s="4">
        <v>45062</v>
      </c>
      <c r="C137" t="s">
        <v>18</v>
      </c>
      <c r="D137" t="s">
        <v>22</v>
      </c>
      <c r="E137" t="s">
        <v>34</v>
      </c>
      <c r="F137" t="s">
        <v>38</v>
      </c>
      <c r="G137">
        <v>3</v>
      </c>
      <c r="H137">
        <v>190588</v>
      </c>
      <c r="I137">
        <v>0.1</v>
      </c>
      <c r="J137">
        <v>514587.6</v>
      </c>
      <c r="K137">
        <v>77033.539999999994</v>
      </c>
    </row>
    <row r="138" spans="1:11" x14ac:dyDescent="0.2">
      <c r="A138">
        <v>2136</v>
      </c>
      <c r="B138" s="4">
        <v>45063</v>
      </c>
      <c r="C138" t="s">
        <v>15</v>
      </c>
      <c r="D138" t="s">
        <v>19</v>
      </c>
      <c r="E138" t="s">
        <v>23</v>
      </c>
      <c r="F138" t="s">
        <v>38</v>
      </c>
      <c r="G138">
        <v>22</v>
      </c>
      <c r="H138">
        <v>287</v>
      </c>
      <c r="I138">
        <v>0</v>
      </c>
      <c r="J138">
        <v>6314</v>
      </c>
      <c r="K138">
        <v>715.17</v>
      </c>
    </row>
    <row r="139" spans="1:11" x14ac:dyDescent="0.2">
      <c r="A139">
        <v>2137</v>
      </c>
      <c r="B139" s="4">
        <v>45064</v>
      </c>
      <c r="C139" t="s">
        <v>11</v>
      </c>
      <c r="D139" t="s">
        <v>22</v>
      </c>
      <c r="E139" t="s">
        <v>30</v>
      </c>
      <c r="F139" t="s">
        <v>38</v>
      </c>
      <c r="G139">
        <v>29</v>
      </c>
      <c r="H139">
        <v>183476</v>
      </c>
      <c r="I139">
        <v>0</v>
      </c>
      <c r="J139">
        <v>5320804</v>
      </c>
      <c r="K139">
        <v>822112.37</v>
      </c>
    </row>
    <row r="140" spans="1:11" x14ac:dyDescent="0.2">
      <c r="A140">
        <v>2138</v>
      </c>
      <c r="B140" s="4">
        <v>45065</v>
      </c>
      <c r="C140" t="s">
        <v>15</v>
      </c>
      <c r="D140" t="s">
        <v>19</v>
      </c>
      <c r="E140" t="s">
        <v>35</v>
      </c>
      <c r="F140" t="s">
        <v>38</v>
      </c>
      <c r="G140">
        <v>16</v>
      </c>
      <c r="H140">
        <v>259</v>
      </c>
      <c r="I140">
        <v>0.1</v>
      </c>
      <c r="J140">
        <v>3729.6</v>
      </c>
      <c r="K140">
        <v>895.17</v>
      </c>
    </row>
    <row r="141" spans="1:11" x14ac:dyDescent="0.2">
      <c r="A141">
        <v>2139</v>
      </c>
      <c r="B141" s="4">
        <v>45066</v>
      </c>
      <c r="C141" t="s">
        <v>13</v>
      </c>
      <c r="D141" t="s">
        <v>20</v>
      </c>
      <c r="E141" t="s">
        <v>24</v>
      </c>
      <c r="F141" t="s">
        <v>36</v>
      </c>
      <c r="G141">
        <v>32</v>
      </c>
      <c r="H141">
        <v>6854</v>
      </c>
      <c r="I141">
        <v>0.05</v>
      </c>
      <c r="J141">
        <v>208361.60000000001</v>
      </c>
      <c r="K141">
        <v>35056.78</v>
      </c>
    </row>
    <row r="142" spans="1:11" x14ac:dyDescent="0.2">
      <c r="A142">
        <v>2140</v>
      </c>
      <c r="B142" s="4">
        <v>45067</v>
      </c>
      <c r="C142" t="s">
        <v>11</v>
      </c>
      <c r="D142" t="s">
        <v>21</v>
      </c>
      <c r="E142" t="s">
        <v>29</v>
      </c>
      <c r="F142" t="s">
        <v>38</v>
      </c>
      <c r="G142">
        <v>37</v>
      </c>
      <c r="H142">
        <v>39874</v>
      </c>
      <c r="I142">
        <v>0</v>
      </c>
      <c r="J142">
        <v>1475338</v>
      </c>
      <c r="K142">
        <v>242628.21</v>
      </c>
    </row>
    <row r="143" spans="1:11" x14ac:dyDescent="0.2">
      <c r="A143">
        <v>2141</v>
      </c>
      <c r="B143" s="4">
        <v>45068</v>
      </c>
      <c r="C143" t="s">
        <v>18</v>
      </c>
      <c r="D143" t="s">
        <v>19</v>
      </c>
      <c r="E143" t="s">
        <v>28</v>
      </c>
      <c r="F143" t="s">
        <v>36</v>
      </c>
      <c r="G143">
        <v>2</v>
      </c>
      <c r="H143">
        <v>389</v>
      </c>
      <c r="I143">
        <v>0.05</v>
      </c>
      <c r="J143">
        <v>739.1</v>
      </c>
      <c r="K143">
        <v>116.73</v>
      </c>
    </row>
    <row r="144" spans="1:11" x14ac:dyDescent="0.2">
      <c r="A144">
        <v>2142</v>
      </c>
      <c r="B144" s="4">
        <v>45069</v>
      </c>
      <c r="C144" t="s">
        <v>11</v>
      </c>
      <c r="D144" t="s">
        <v>20</v>
      </c>
      <c r="E144" t="s">
        <v>24</v>
      </c>
      <c r="F144" t="s">
        <v>36</v>
      </c>
      <c r="G144">
        <v>37</v>
      </c>
      <c r="H144">
        <v>7001</v>
      </c>
      <c r="I144">
        <v>0.1</v>
      </c>
      <c r="J144">
        <v>233133.3</v>
      </c>
      <c r="K144">
        <v>31313.4</v>
      </c>
    </row>
    <row r="145" spans="1:11" x14ac:dyDescent="0.2">
      <c r="A145">
        <v>2143</v>
      </c>
      <c r="B145" s="4">
        <v>45070</v>
      </c>
      <c r="C145" t="s">
        <v>16</v>
      </c>
      <c r="D145" t="s">
        <v>20</v>
      </c>
      <c r="E145" t="s">
        <v>24</v>
      </c>
      <c r="F145" t="s">
        <v>36</v>
      </c>
      <c r="G145">
        <v>13</v>
      </c>
      <c r="H145">
        <v>6722</v>
      </c>
      <c r="I145">
        <v>0</v>
      </c>
      <c r="J145">
        <v>87386</v>
      </c>
      <c r="K145">
        <v>7362.06</v>
      </c>
    </row>
    <row r="146" spans="1:11" x14ac:dyDescent="0.2">
      <c r="A146">
        <v>2144</v>
      </c>
      <c r="B146" s="4">
        <v>45071</v>
      </c>
      <c r="C146" t="s">
        <v>14</v>
      </c>
      <c r="D146" t="s">
        <v>19</v>
      </c>
      <c r="E146" t="s">
        <v>23</v>
      </c>
      <c r="F146" t="s">
        <v>37</v>
      </c>
      <c r="G146">
        <v>13</v>
      </c>
      <c r="H146">
        <v>682</v>
      </c>
      <c r="I146">
        <v>0.1</v>
      </c>
      <c r="J146">
        <v>7979.4</v>
      </c>
      <c r="K146">
        <v>1203.94</v>
      </c>
    </row>
    <row r="147" spans="1:11" x14ac:dyDescent="0.2">
      <c r="A147">
        <v>2145</v>
      </c>
      <c r="B147" s="4">
        <v>45072</v>
      </c>
      <c r="C147" t="s">
        <v>17</v>
      </c>
      <c r="D147" t="s">
        <v>19</v>
      </c>
      <c r="E147" t="s">
        <v>35</v>
      </c>
      <c r="F147" t="s">
        <v>36</v>
      </c>
      <c r="G147">
        <v>16</v>
      </c>
      <c r="H147">
        <v>237</v>
      </c>
      <c r="I147">
        <v>0.1</v>
      </c>
      <c r="J147">
        <v>3412.8</v>
      </c>
      <c r="K147">
        <v>706.14</v>
      </c>
    </row>
    <row r="148" spans="1:11" x14ac:dyDescent="0.2">
      <c r="A148">
        <v>2146</v>
      </c>
      <c r="B148" s="4">
        <v>45073</v>
      </c>
      <c r="C148" t="s">
        <v>12</v>
      </c>
      <c r="D148" t="s">
        <v>22</v>
      </c>
      <c r="E148" t="s">
        <v>34</v>
      </c>
      <c r="F148" t="s">
        <v>37</v>
      </c>
      <c r="G148">
        <v>9</v>
      </c>
      <c r="H148">
        <v>127564</v>
      </c>
      <c r="I148">
        <v>0</v>
      </c>
      <c r="J148">
        <v>1148076</v>
      </c>
      <c r="K148">
        <v>253211.17</v>
      </c>
    </row>
    <row r="149" spans="1:11" x14ac:dyDescent="0.2">
      <c r="A149">
        <v>2147</v>
      </c>
      <c r="B149" s="4">
        <v>45074</v>
      </c>
      <c r="C149" t="s">
        <v>13</v>
      </c>
      <c r="D149" t="s">
        <v>21</v>
      </c>
      <c r="E149" t="s">
        <v>26</v>
      </c>
      <c r="F149" t="s">
        <v>36</v>
      </c>
      <c r="G149">
        <v>8</v>
      </c>
      <c r="H149">
        <v>96650</v>
      </c>
      <c r="I149">
        <v>0.05</v>
      </c>
      <c r="J149">
        <v>734540</v>
      </c>
      <c r="K149">
        <v>137880.51</v>
      </c>
    </row>
    <row r="150" spans="1:11" x14ac:dyDescent="0.2">
      <c r="A150">
        <v>2148</v>
      </c>
      <c r="B150" s="4">
        <v>45075</v>
      </c>
      <c r="C150" t="s">
        <v>18</v>
      </c>
      <c r="D150" t="s">
        <v>22</v>
      </c>
      <c r="E150" t="s">
        <v>30</v>
      </c>
      <c r="F150" t="s">
        <v>36</v>
      </c>
      <c r="G150">
        <v>18</v>
      </c>
      <c r="H150">
        <v>120594</v>
      </c>
      <c r="I150">
        <v>0</v>
      </c>
      <c r="J150">
        <v>2170692</v>
      </c>
      <c r="K150">
        <v>430919.58</v>
      </c>
    </row>
    <row r="151" spans="1:11" x14ac:dyDescent="0.2">
      <c r="A151">
        <v>2149</v>
      </c>
      <c r="B151" s="4">
        <v>45076</v>
      </c>
      <c r="C151" t="s">
        <v>18</v>
      </c>
      <c r="D151" t="s">
        <v>21</v>
      </c>
      <c r="E151" t="s">
        <v>26</v>
      </c>
      <c r="F151" t="s">
        <v>37</v>
      </c>
      <c r="G151">
        <v>13</v>
      </c>
      <c r="H151">
        <v>51330</v>
      </c>
      <c r="I151">
        <v>0.05</v>
      </c>
      <c r="J151">
        <v>633925.5</v>
      </c>
      <c r="K151">
        <v>93185.99</v>
      </c>
    </row>
    <row r="152" spans="1:11" x14ac:dyDescent="0.2">
      <c r="A152">
        <v>2150</v>
      </c>
      <c r="B152" s="4">
        <v>45077</v>
      </c>
      <c r="C152" t="s">
        <v>16</v>
      </c>
      <c r="D152" t="s">
        <v>20</v>
      </c>
      <c r="E152" t="s">
        <v>27</v>
      </c>
      <c r="F152" t="s">
        <v>38</v>
      </c>
      <c r="G152">
        <v>13</v>
      </c>
      <c r="H152">
        <v>6816</v>
      </c>
      <c r="I152">
        <v>0</v>
      </c>
      <c r="J152">
        <v>88608</v>
      </c>
      <c r="K152">
        <v>14326.74</v>
      </c>
    </row>
    <row r="153" spans="1:11" x14ac:dyDescent="0.2">
      <c r="A153">
        <v>2151</v>
      </c>
      <c r="B153" s="4">
        <v>45078</v>
      </c>
      <c r="C153" t="s">
        <v>18</v>
      </c>
      <c r="D153" t="s">
        <v>20</v>
      </c>
      <c r="E153" t="s">
        <v>27</v>
      </c>
      <c r="F153" t="s">
        <v>37</v>
      </c>
      <c r="G153">
        <v>24</v>
      </c>
      <c r="H153">
        <v>3767</v>
      </c>
      <c r="I153">
        <v>0.05</v>
      </c>
      <c r="J153">
        <v>85887.6</v>
      </c>
      <c r="K153">
        <v>21119.29</v>
      </c>
    </row>
    <row r="154" spans="1:11" x14ac:dyDescent="0.2">
      <c r="A154">
        <v>2152</v>
      </c>
      <c r="B154" s="4">
        <v>45079</v>
      </c>
      <c r="C154" t="s">
        <v>17</v>
      </c>
      <c r="D154" t="s">
        <v>22</v>
      </c>
      <c r="E154" t="s">
        <v>34</v>
      </c>
      <c r="F154" t="s">
        <v>38</v>
      </c>
      <c r="G154">
        <v>24</v>
      </c>
      <c r="H154">
        <v>50644</v>
      </c>
      <c r="I154">
        <v>0.1</v>
      </c>
      <c r="J154">
        <v>1093910.3999999999</v>
      </c>
      <c r="K154">
        <v>217232.72</v>
      </c>
    </row>
    <row r="155" spans="1:11" x14ac:dyDescent="0.2">
      <c r="A155">
        <v>2153</v>
      </c>
      <c r="B155" s="4">
        <v>45080</v>
      </c>
      <c r="C155" t="s">
        <v>14</v>
      </c>
      <c r="D155" t="s">
        <v>22</v>
      </c>
      <c r="E155" t="s">
        <v>30</v>
      </c>
      <c r="F155" t="s">
        <v>38</v>
      </c>
      <c r="G155">
        <v>31</v>
      </c>
      <c r="H155">
        <v>159124</v>
      </c>
      <c r="I155">
        <v>0</v>
      </c>
      <c r="J155">
        <v>4932844</v>
      </c>
      <c r="K155">
        <v>714898.97</v>
      </c>
    </row>
    <row r="156" spans="1:11" x14ac:dyDescent="0.2">
      <c r="A156">
        <v>2154</v>
      </c>
      <c r="B156" s="4">
        <v>45081</v>
      </c>
      <c r="C156" t="s">
        <v>16</v>
      </c>
      <c r="D156" t="s">
        <v>20</v>
      </c>
      <c r="E156" t="s">
        <v>27</v>
      </c>
      <c r="F156" t="s">
        <v>37</v>
      </c>
      <c r="G156">
        <v>31</v>
      </c>
      <c r="H156">
        <v>4736</v>
      </c>
      <c r="I156">
        <v>0</v>
      </c>
      <c r="J156">
        <v>146816</v>
      </c>
      <c r="K156">
        <v>28997.5</v>
      </c>
    </row>
    <row r="157" spans="1:11" x14ac:dyDescent="0.2">
      <c r="A157">
        <v>2155</v>
      </c>
      <c r="B157" s="4">
        <v>45082</v>
      </c>
      <c r="C157" t="s">
        <v>13</v>
      </c>
      <c r="D157" t="s">
        <v>22</v>
      </c>
      <c r="E157" t="s">
        <v>34</v>
      </c>
      <c r="F157" t="s">
        <v>37</v>
      </c>
      <c r="G157">
        <v>36</v>
      </c>
      <c r="H157">
        <v>57952</v>
      </c>
      <c r="I157">
        <v>0</v>
      </c>
      <c r="J157">
        <v>2086272</v>
      </c>
      <c r="K157">
        <v>472666.51</v>
      </c>
    </row>
    <row r="158" spans="1:11" x14ac:dyDescent="0.2">
      <c r="A158">
        <v>2156</v>
      </c>
      <c r="B158" s="4">
        <v>45083</v>
      </c>
      <c r="C158" t="s">
        <v>13</v>
      </c>
      <c r="D158" t="s">
        <v>22</v>
      </c>
      <c r="E158" t="s">
        <v>34</v>
      </c>
      <c r="F158" t="s">
        <v>38</v>
      </c>
      <c r="G158">
        <v>35</v>
      </c>
      <c r="H158">
        <v>238253</v>
      </c>
      <c r="I158">
        <v>0.1</v>
      </c>
      <c r="J158">
        <v>7504969.5</v>
      </c>
      <c r="K158">
        <v>1377241.32</v>
      </c>
    </row>
    <row r="159" spans="1:11" x14ac:dyDescent="0.2">
      <c r="A159">
        <v>2157</v>
      </c>
      <c r="B159" s="4">
        <v>45084</v>
      </c>
      <c r="C159" t="s">
        <v>13</v>
      </c>
      <c r="D159" t="s">
        <v>20</v>
      </c>
      <c r="E159" t="s">
        <v>27</v>
      </c>
      <c r="F159" t="s">
        <v>37</v>
      </c>
      <c r="G159">
        <v>19</v>
      </c>
      <c r="H159">
        <v>7533</v>
      </c>
      <c r="I159">
        <v>0.05</v>
      </c>
      <c r="J159">
        <v>135970.65</v>
      </c>
      <c r="K159">
        <v>13051.29</v>
      </c>
    </row>
    <row r="160" spans="1:11" x14ac:dyDescent="0.2">
      <c r="A160">
        <v>2158</v>
      </c>
      <c r="B160" s="4">
        <v>45085</v>
      </c>
      <c r="C160" t="s">
        <v>14</v>
      </c>
      <c r="D160" t="s">
        <v>20</v>
      </c>
      <c r="E160" t="s">
        <v>27</v>
      </c>
      <c r="F160" t="s">
        <v>38</v>
      </c>
      <c r="G160">
        <v>1</v>
      </c>
      <c r="H160">
        <v>4243</v>
      </c>
      <c r="I160">
        <v>0.1</v>
      </c>
      <c r="J160">
        <v>3818.7</v>
      </c>
      <c r="K160">
        <v>700.12</v>
      </c>
    </row>
    <row r="161" spans="1:11" x14ac:dyDescent="0.2">
      <c r="A161">
        <v>2159</v>
      </c>
      <c r="B161" s="4">
        <v>45086</v>
      </c>
      <c r="C161" t="s">
        <v>16</v>
      </c>
      <c r="D161" t="s">
        <v>22</v>
      </c>
      <c r="E161" t="s">
        <v>30</v>
      </c>
      <c r="F161" t="s">
        <v>36</v>
      </c>
      <c r="G161">
        <v>22</v>
      </c>
      <c r="H161">
        <v>71568</v>
      </c>
      <c r="I161">
        <v>0.05</v>
      </c>
      <c r="J161">
        <v>1495771.2</v>
      </c>
      <c r="K161">
        <v>170775.38</v>
      </c>
    </row>
    <row r="162" spans="1:11" x14ac:dyDescent="0.2">
      <c r="A162">
        <v>2160</v>
      </c>
      <c r="B162" s="4">
        <v>45087</v>
      </c>
      <c r="C162" t="s">
        <v>11</v>
      </c>
      <c r="D162" t="s">
        <v>20</v>
      </c>
      <c r="E162" t="s">
        <v>24</v>
      </c>
      <c r="F162" t="s">
        <v>38</v>
      </c>
      <c r="G162">
        <v>15</v>
      </c>
      <c r="H162">
        <v>5385</v>
      </c>
      <c r="I162">
        <v>0</v>
      </c>
      <c r="J162">
        <v>80775</v>
      </c>
      <c r="K162">
        <v>15341.77</v>
      </c>
    </row>
    <row r="163" spans="1:11" x14ac:dyDescent="0.2">
      <c r="A163">
        <v>2161</v>
      </c>
      <c r="B163" s="4">
        <v>45088</v>
      </c>
      <c r="C163" t="s">
        <v>14</v>
      </c>
      <c r="D163" t="s">
        <v>19</v>
      </c>
      <c r="E163" t="s">
        <v>25</v>
      </c>
      <c r="F163" t="s">
        <v>36</v>
      </c>
      <c r="G163">
        <v>25</v>
      </c>
      <c r="H163">
        <v>592</v>
      </c>
      <c r="I163">
        <v>0.1</v>
      </c>
      <c r="J163">
        <v>13320</v>
      </c>
      <c r="K163">
        <v>3071.44</v>
      </c>
    </row>
    <row r="164" spans="1:11" x14ac:dyDescent="0.2">
      <c r="A164">
        <v>2162</v>
      </c>
      <c r="B164" s="4">
        <v>45089</v>
      </c>
      <c r="C164" t="s">
        <v>14</v>
      </c>
      <c r="D164" t="s">
        <v>21</v>
      </c>
      <c r="E164" t="s">
        <v>29</v>
      </c>
      <c r="F164" t="s">
        <v>36</v>
      </c>
      <c r="G164">
        <v>24</v>
      </c>
      <c r="H164">
        <v>61578</v>
      </c>
      <c r="I164">
        <v>0.05</v>
      </c>
      <c r="J164">
        <v>1403978.4</v>
      </c>
      <c r="K164">
        <v>180703.34</v>
      </c>
    </row>
    <row r="165" spans="1:11" x14ac:dyDescent="0.2">
      <c r="A165">
        <v>2163</v>
      </c>
      <c r="B165" s="4">
        <v>45090</v>
      </c>
      <c r="C165" t="s">
        <v>13</v>
      </c>
      <c r="D165" t="s">
        <v>19</v>
      </c>
      <c r="E165" t="s">
        <v>28</v>
      </c>
      <c r="F165" t="s">
        <v>37</v>
      </c>
      <c r="G165">
        <v>38</v>
      </c>
      <c r="H165">
        <v>698</v>
      </c>
      <c r="I165">
        <v>0.05</v>
      </c>
      <c r="J165">
        <v>25197.8</v>
      </c>
      <c r="K165">
        <v>4783.6000000000004</v>
      </c>
    </row>
    <row r="166" spans="1:11" x14ac:dyDescent="0.2">
      <c r="A166">
        <v>2164</v>
      </c>
      <c r="B166" s="4">
        <v>45091</v>
      </c>
      <c r="C166" t="s">
        <v>14</v>
      </c>
      <c r="D166" t="s">
        <v>22</v>
      </c>
      <c r="E166" t="s">
        <v>34</v>
      </c>
      <c r="F166" t="s">
        <v>37</v>
      </c>
      <c r="G166">
        <v>7</v>
      </c>
      <c r="H166">
        <v>31984</v>
      </c>
      <c r="I166">
        <v>0.05</v>
      </c>
      <c r="J166">
        <v>212693.6</v>
      </c>
      <c r="K166">
        <v>33281.769999999997</v>
      </c>
    </row>
    <row r="167" spans="1:11" x14ac:dyDescent="0.2">
      <c r="A167">
        <v>2165</v>
      </c>
      <c r="B167" s="4">
        <v>45092</v>
      </c>
      <c r="C167" t="s">
        <v>11</v>
      </c>
      <c r="D167" t="s">
        <v>20</v>
      </c>
      <c r="E167" t="s">
        <v>27</v>
      </c>
      <c r="F167" t="s">
        <v>38</v>
      </c>
      <c r="G167">
        <v>39</v>
      </c>
      <c r="H167">
        <v>4817</v>
      </c>
      <c r="I167">
        <v>0.05</v>
      </c>
      <c r="J167">
        <v>178469.85</v>
      </c>
      <c r="K167">
        <v>23416.959999999999</v>
      </c>
    </row>
    <row r="168" spans="1:11" x14ac:dyDescent="0.2">
      <c r="A168">
        <v>2166</v>
      </c>
      <c r="B168" s="4">
        <v>45093</v>
      </c>
      <c r="C168" t="s">
        <v>16</v>
      </c>
      <c r="D168" t="s">
        <v>22</v>
      </c>
      <c r="E168" t="s">
        <v>34</v>
      </c>
      <c r="F168" t="s">
        <v>38</v>
      </c>
      <c r="G168">
        <v>28</v>
      </c>
      <c r="H168">
        <v>140373</v>
      </c>
      <c r="I168">
        <v>0</v>
      </c>
      <c r="J168">
        <v>3930444</v>
      </c>
      <c r="K168">
        <v>579989.78</v>
      </c>
    </row>
    <row r="169" spans="1:11" x14ac:dyDescent="0.2">
      <c r="A169">
        <v>2167</v>
      </c>
      <c r="B169" s="4">
        <v>45094</v>
      </c>
      <c r="C169" t="s">
        <v>12</v>
      </c>
      <c r="D169" t="s">
        <v>20</v>
      </c>
      <c r="E169" t="s">
        <v>24</v>
      </c>
      <c r="F169" t="s">
        <v>38</v>
      </c>
      <c r="G169">
        <v>26</v>
      </c>
      <c r="H169">
        <v>6454</v>
      </c>
      <c r="I169">
        <v>0.05</v>
      </c>
      <c r="J169">
        <v>159413.79999999999</v>
      </c>
      <c r="K169">
        <v>19921.650000000001</v>
      </c>
    </row>
    <row r="170" spans="1:11" x14ac:dyDescent="0.2">
      <c r="A170">
        <v>2168</v>
      </c>
      <c r="B170" s="4">
        <v>45095</v>
      </c>
      <c r="C170" t="s">
        <v>13</v>
      </c>
      <c r="D170" t="s">
        <v>22</v>
      </c>
      <c r="E170" t="s">
        <v>34</v>
      </c>
      <c r="F170" t="s">
        <v>38</v>
      </c>
      <c r="G170">
        <v>16</v>
      </c>
      <c r="H170">
        <v>108996</v>
      </c>
      <c r="I170">
        <v>0.05</v>
      </c>
      <c r="J170">
        <v>1656739.2</v>
      </c>
      <c r="K170">
        <v>383995.21</v>
      </c>
    </row>
    <row r="171" spans="1:11" x14ac:dyDescent="0.2">
      <c r="A171">
        <v>2169</v>
      </c>
      <c r="B171" s="4">
        <v>45096</v>
      </c>
      <c r="C171" t="s">
        <v>13</v>
      </c>
      <c r="D171" t="s">
        <v>19</v>
      </c>
      <c r="E171" t="s">
        <v>25</v>
      </c>
      <c r="F171" t="s">
        <v>36</v>
      </c>
      <c r="G171">
        <v>38</v>
      </c>
      <c r="H171">
        <v>350</v>
      </c>
      <c r="I171">
        <v>0.05</v>
      </c>
      <c r="J171">
        <v>12635</v>
      </c>
      <c r="K171">
        <v>1737.75</v>
      </c>
    </row>
    <row r="172" spans="1:11" x14ac:dyDescent="0.2">
      <c r="A172">
        <v>2170</v>
      </c>
      <c r="B172" s="4">
        <v>45097</v>
      </c>
      <c r="C172" t="s">
        <v>14</v>
      </c>
      <c r="D172" t="s">
        <v>21</v>
      </c>
      <c r="E172" t="s">
        <v>31</v>
      </c>
      <c r="F172" t="s">
        <v>38</v>
      </c>
      <c r="G172">
        <v>22</v>
      </c>
      <c r="H172">
        <v>89632</v>
      </c>
      <c r="I172">
        <v>0.05</v>
      </c>
      <c r="J172">
        <v>1873308.8</v>
      </c>
      <c r="K172">
        <v>349295.94</v>
      </c>
    </row>
    <row r="173" spans="1:11" x14ac:dyDescent="0.2">
      <c r="A173">
        <v>2171</v>
      </c>
      <c r="B173" s="4">
        <v>45098</v>
      </c>
      <c r="C173" t="s">
        <v>15</v>
      </c>
      <c r="D173" t="s">
        <v>20</v>
      </c>
      <c r="E173" t="s">
        <v>27</v>
      </c>
      <c r="F173" t="s">
        <v>36</v>
      </c>
      <c r="G173">
        <v>30</v>
      </c>
      <c r="H173">
        <v>6324</v>
      </c>
      <c r="I173">
        <v>0.05</v>
      </c>
      <c r="J173">
        <v>180234</v>
      </c>
      <c r="K173">
        <v>22804.18</v>
      </c>
    </row>
    <row r="174" spans="1:11" x14ac:dyDescent="0.2">
      <c r="A174">
        <v>2172</v>
      </c>
      <c r="B174" s="4">
        <v>45099</v>
      </c>
      <c r="C174" t="s">
        <v>17</v>
      </c>
      <c r="D174" t="s">
        <v>22</v>
      </c>
      <c r="E174" t="s">
        <v>33</v>
      </c>
      <c r="F174" t="s">
        <v>36</v>
      </c>
      <c r="G174">
        <v>19</v>
      </c>
      <c r="H174">
        <v>197613</v>
      </c>
      <c r="I174">
        <v>0</v>
      </c>
      <c r="J174">
        <v>3754647</v>
      </c>
      <c r="K174">
        <v>862421.67</v>
      </c>
    </row>
    <row r="175" spans="1:11" x14ac:dyDescent="0.2">
      <c r="A175">
        <v>2173</v>
      </c>
      <c r="B175" s="4">
        <v>45100</v>
      </c>
      <c r="C175" t="s">
        <v>11</v>
      </c>
      <c r="D175" t="s">
        <v>21</v>
      </c>
      <c r="E175" t="s">
        <v>31</v>
      </c>
      <c r="F175" t="s">
        <v>36</v>
      </c>
      <c r="G175">
        <v>40</v>
      </c>
      <c r="H175">
        <v>118481</v>
      </c>
      <c r="I175">
        <v>0.05</v>
      </c>
      <c r="J175">
        <v>4502278</v>
      </c>
      <c r="K175">
        <v>485585.23</v>
      </c>
    </row>
    <row r="176" spans="1:11" x14ac:dyDescent="0.2">
      <c r="A176">
        <v>2174</v>
      </c>
      <c r="B176" s="4">
        <v>45101</v>
      </c>
      <c r="C176" t="s">
        <v>12</v>
      </c>
      <c r="D176" t="s">
        <v>20</v>
      </c>
      <c r="E176" t="s">
        <v>24</v>
      </c>
      <c r="F176" t="s">
        <v>38</v>
      </c>
      <c r="G176">
        <v>32</v>
      </c>
      <c r="H176">
        <v>6792</v>
      </c>
      <c r="I176">
        <v>0.1</v>
      </c>
      <c r="J176">
        <v>195609.60000000001</v>
      </c>
      <c r="K176">
        <v>47096.160000000003</v>
      </c>
    </row>
    <row r="177" spans="1:11" x14ac:dyDescent="0.2">
      <c r="A177">
        <v>2175</v>
      </c>
      <c r="B177" s="4">
        <v>45102</v>
      </c>
      <c r="C177" t="s">
        <v>13</v>
      </c>
      <c r="D177" t="s">
        <v>21</v>
      </c>
      <c r="E177" t="s">
        <v>26</v>
      </c>
      <c r="F177" t="s">
        <v>38</v>
      </c>
      <c r="G177">
        <v>6</v>
      </c>
      <c r="H177">
        <v>16154</v>
      </c>
      <c r="I177">
        <v>0.05</v>
      </c>
      <c r="J177">
        <v>92077.8</v>
      </c>
      <c r="K177">
        <v>11711.53</v>
      </c>
    </row>
    <row r="178" spans="1:11" x14ac:dyDescent="0.2">
      <c r="A178">
        <v>2176</v>
      </c>
      <c r="B178" s="4">
        <v>45103</v>
      </c>
      <c r="C178" t="s">
        <v>16</v>
      </c>
      <c r="D178" t="s">
        <v>22</v>
      </c>
      <c r="E178" t="s">
        <v>33</v>
      </c>
      <c r="F178" t="s">
        <v>37</v>
      </c>
      <c r="G178">
        <v>13</v>
      </c>
      <c r="H178">
        <v>222111</v>
      </c>
      <c r="I178">
        <v>0.05</v>
      </c>
      <c r="J178">
        <v>2743070.85</v>
      </c>
      <c r="K178">
        <v>438650.74</v>
      </c>
    </row>
    <row r="179" spans="1:11" x14ac:dyDescent="0.2">
      <c r="A179">
        <v>2177</v>
      </c>
      <c r="B179" s="4">
        <v>45104</v>
      </c>
      <c r="C179" t="s">
        <v>15</v>
      </c>
      <c r="D179" t="s">
        <v>22</v>
      </c>
      <c r="E179" t="s">
        <v>30</v>
      </c>
      <c r="F179" t="s">
        <v>36</v>
      </c>
      <c r="G179">
        <v>31</v>
      </c>
      <c r="H179">
        <v>25517</v>
      </c>
      <c r="I179">
        <v>0.05</v>
      </c>
      <c r="J179">
        <v>751475.65</v>
      </c>
      <c r="K179">
        <v>73454.33</v>
      </c>
    </row>
    <row r="180" spans="1:11" x14ac:dyDescent="0.2">
      <c r="A180">
        <v>2178</v>
      </c>
      <c r="B180" s="4">
        <v>45105</v>
      </c>
      <c r="C180" t="s">
        <v>18</v>
      </c>
      <c r="D180" t="s">
        <v>20</v>
      </c>
      <c r="E180" t="s">
        <v>27</v>
      </c>
      <c r="F180" t="s">
        <v>36</v>
      </c>
      <c r="G180">
        <v>30</v>
      </c>
      <c r="H180">
        <v>6147</v>
      </c>
      <c r="I180">
        <v>0</v>
      </c>
      <c r="J180">
        <v>184410</v>
      </c>
      <c r="K180">
        <v>26903.91</v>
      </c>
    </row>
    <row r="181" spans="1:11" x14ac:dyDescent="0.2">
      <c r="A181">
        <v>2179</v>
      </c>
      <c r="B181" s="4">
        <v>45106</v>
      </c>
      <c r="C181" t="s">
        <v>12</v>
      </c>
      <c r="D181" t="s">
        <v>22</v>
      </c>
      <c r="E181" t="s">
        <v>33</v>
      </c>
      <c r="F181" t="s">
        <v>36</v>
      </c>
      <c r="G181">
        <v>4</v>
      </c>
      <c r="H181">
        <v>144910</v>
      </c>
      <c r="I181">
        <v>0.05</v>
      </c>
      <c r="J181">
        <v>550658</v>
      </c>
      <c r="K181">
        <v>82438.22</v>
      </c>
    </row>
    <row r="182" spans="1:11" x14ac:dyDescent="0.2">
      <c r="A182">
        <v>2180</v>
      </c>
      <c r="B182" s="4">
        <v>45107</v>
      </c>
      <c r="C182" t="s">
        <v>14</v>
      </c>
      <c r="D182" t="s">
        <v>22</v>
      </c>
      <c r="E182" t="s">
        <v>30</v>
      </c>
      <c r="F182" t="s">
        <v>38</v>
      </c>
      <c r="G182">
        <v>37</v>
      </c>
      <c r="H182">
        <v>43240</v>
      </c>
      <c r="I182">
        <v>0.1</v>
      </c>
      <c r="J182">
        <v>1439892</v>
      </c>
      <c r="K182">
        <v>284723.08</v>
      </c>
    </row>
    <row r="183" spans="1:11" x14ac:dyDescent="0.2">
      <c r="A183">
        <v>2181</v>
      </c>
      <c r="B183" s="4">
        <v>45108</v>
      </c>
      <c r="C183" t="s">
        <v>18</v>
      </c>
      <c r="D183" t="s">
        <v>19</v>
      </c>
      <c r="E183" t="s">
        <v>25</v>
      </c>
      <c r="F183" t="s">
        <v>36</v>
      </c>
      <c r="G183">
        <v>6</v>
      </c>
      <c r="H183">
        <v>451</v>
      </c>
      <c r="I183">
        <v>0.1</v>
      </c>
      <c r="J183">
        <v>2435.4</v>
      </c>
      <c r="K183">
        <v>527.75</v>
      </c>
    </row>
    <row r="184" spans="1:11" x14ac:dyDescent="0.2">
      <c r="A184">
        <v>2182</v>
      </c>
      <c r="B184" s="4">
        <v>45109</v>
      </c>
      <c r="C184" t="s">
        <v>17</v>
      </c>
      <c r="D184" t="s">
        <v>22</v>
      </c>
      <c r="E184" t="s">
        <v>30</v>
      </c>
      <c r="F184" t="s">
        <v>38</v>
      </c>
      <c r="G184">
        <v>40</v>
      </c>
      <c r="H184">
        <v>169003</v>
      </c>
      <c r="I184">
        <v>0.1</v>
      </c>
      <c r="J184">
        <v>6084108</v>
      </c>
      <c r="K184">
        <v>706109.04</v>
      </c>
    </row>
    <row r="185" spans="1:11" x14ac:dyDescent="0.2">
      <c r="A185">
        <v>2183</v>
      </c>
      <c r="B185" s="4">
        <v>45110</v>
      </c>
      <c r="C185" t="s">
        <v>12</v>
      </c>
      <c r="D185" t="s">
        <v>20</v>
      </c>
      <c r="E185" t="s">
        <v>27</v>
      </c>
      <c r="F185" t="s">
        <v>37</v>
      </c>
      <c r="G185">
        <v>14</v>
      </c>
      <c r="H185">
        <v>5963</v>
      </c>
      <c r="I185">
        <v>0</v>
      </c>
      <c r="J185">
        <v>83482</v>
      </c>
      <c r="K185">
        <v>14522.09</v>
      </c>
    </row>
    <row r="186" spans="1:11" x14ac:dyDescent="0.2">
      <c r="A186">
        <v>2184</v>
      </c>
      <c r="B186" s="4">
        <v>45111</v>
      </c>
      <c r="C186" t="s">
        <v>14</v>
      </c>
      <c r="D186" t="s">
        <v>19</v>
      </c>
      <c r="E186" t="s">
        <v>23</v>
      </c>
      <c r="F186" t="s">
        <v>38</v>
      </c>
      <c r="G186">
        <v>16</v>
      </c>
      <c r="H186">
        <v>197</v>
      </c>
      <c r="I186">
        <v>0.1</v>
      </c>
      <c r="J186">
        <v>2836.8</v>
      </c>
      <c r="K186">
        <v>533.14</v>
      </c>
    </row>
    <row r="187" spans="1:11" x14ac:dyDescent="0.2">
      <c r="A187">
        <v>2185</v>
      </c>
      <c r="B187" s="4">
        <v>45112</v>
      </c>
      <c r="C187" t="s">
        <v>17</v>
      </c>
      <c r="D187" t="s">
        <v>20</v>
      </c>
      <c r="E187" t="s">
        <v>27</v>
      </c>
      <c r="F187" t="s">
        <v>36</v>
      </c>
      <c r="G187">
        <v>8</v>
      </c>
      <c r="H187">
        <v>5338</v>
      </c>
      <c r="I187">
        <v>0.1</v>
      </c>
      <c r="J187">
        <v>38433.599999999999</v>
      </c>
      <c r="K187">
        <v>7889.1</v>
      </c>
    </row>
    <row r="188" spans="1:11" x14ac:dyDescent="0.2">
      <c r="A188">
        <v>2186</v>
      </c>
      <c r="B188" s="4">
        <v>45113</v>
      </c>
      <c r="C188" t="s">
        <v>13</v>
      </c>
      <c r="D188" t="s">
        <v>22</v>
      </c>
      <c r="E188" t="s">
        <v>33</v>
      </c>
      <c r="F188" t="s">
        <v>36</v>
      </c>
      <c r="G188">
        <v>28</v>
      </c>
      <c r="H188">
        <v>61957</v>
      </c>
      <c r="I188">
        <v>0</v>
      </c>
      <c r="J188">
        <v>1734796</v>
      </c>
      <c r="K188">
        <v>172044.01</v>
      </c>
    </row>
    <row r="189" spans="1:11" x14ac:dyDescent="0.2">
      <c r="A189">
        <v>2187</v>
      </c>
      <c r="B189" s="4">
        <v>45114</v>
      </c>
      <c r="C189" t="s">
        <v>12</v>
      </c>
      <c r="D189" t="s">
        <v>21</v>
      </c>
      <c r="E189" t="s">
        <v>26</v>
      </c>
      <c r="F189" t="s">
        <v>37</v>
      </c>
      <c r="G189">
        <v>5</v>
      </c>
      <c r="H189">
        <v>66432</v>
      </c>
      <c r="I189">
        <v>0.1</v>
      </c>
      <c r="J189">
        <v>298944</v>
      </c>
      <c r="K189">
        <v>69912.86</v>
      </c>
    </row>
    <row r="190" spans="1:11" x14ac:dyDescent="0.2">
      <c r="A190">
        <v>2188</v>
      </c>
      <c r="B190" s="4">
        <v>45115</v>
      </c>
      <c r="C190" t="s">
        <v>16</v>
      </c>
      <c r="D190" t="s">
        <v>19</v>
      </c>
      <c r="E190" t="s">
        <v>28</v>
      </c>
      <c r="F190" t="s">
        <v>37</v>
      </c>
      <c r="G190">
        <v>5</v>
      </c>
      <c r="H190">
        <v>251</v>
      </c>
      <c r="I190">
        <v>0.05</v>
      </c>
      <c r="J190">
        <v>1192.25</v>
      </c>
      <c r="K190">
        <v>291.66000000000003</v>
      </c>
    </row>
    <row r="191" spans="1:11" x14ac:dyDescent="0.2">
      <c r="A191">
        <v>2189</v>
      </c>
      <c r="B191" s="4">
        <v>45116</v>
      </c>
      <c r="C191" t="s">
        <v>14</v>
      </c>
      <c r="D191" t="s">
        <v>19</v>
      </c>
      <c r="E191" t="s">
        <v>32</v>
      </c>
      <c r="F191" t="s">
        <v>37</v>
      </c>
      <c r="G191">
        <v>9</v>
      </c>
      <c r="H191">
        <v>727</v>
      </c>
      <c r="I191">
        <v>0</v>
      </c>
      <c r="J191">
        <v>6543</v>
      </c>
      <c r="K191">
        <v>647.16999999999996</v>
      </c>
    </row>
    <row r="192" spans="1:11" x14ac:dyDescent="0.2">
      <c r="A192">
        <v>2190</v>
      </c>
      <c r="B192" s="4">
        <v>45117</v>
      </c>
      <c r="C192" t="s">
        <v>16</v>
      </c>
      <c r="D192" t="s">
        <v>20</v>
      </c>
      <c r="E192" t="s">
        <v>24</v>
      </c>
      <c r="F192" t="s">
        <v>36</v>
      </c>
      <c r="G192">
        <v>33</v>
      </c>
      <c r="H192">
        <v>3004</v>
      </c>
      <c r="I192">
        <v>0.1</v>
      </c>
      <c r="J192">
        <v>89218.8</v>
      </c>
      <c r="K192">
        <v>15174.55</v>
      </c>
    </row>
    <row r="193" spans="1:11" x14ac:dyDescent="0.2">
      <c r="A193">
        <v>2191</v>
      </c>
      <c r="B193" s="4">
        <v>45118</v>
      </c>
      <c r="C193" t="s">
        <v>17</v>
      </c>
      <c r="D193" t="s">
        <v>22</v>
      </c>
      <c r="E193" t="s">
        <v>30</v>
      </c>
      <c r="F193" t="s">
        <v>38</v>
      </c>
      <c r="G193">
        <v>33</v>
      </c>
      <c r="H193">
        <v>109661</v>
      </c>
      <c r="I193">
        <v>0.05</v>
      </c>
      <c r="J193">
        <v>3437872.35</v>
      </c>
      <c r="K193">
        <v>391569.91999999998</v>
      </c>
    </row>
    <row r="194" spans="1:11" x14ac:dyDescent="0.2">
      <c r="A194">
        <v>2192</v>
      </c>
      <c r="B194" s="4">
        <v>45119</v>
      </c>
      <c r="C194" t="s">
        <v>14</v>
      </c>
      <c r="D194" t="s">
        <v>19</v>
      </c>
      <c r="E194" t="s">
        <v>23</v>
      </c>
      <c r="F194" t="s">
        <v>38</v>
      </c>
      <c r="G194">
        <v>30</v>
      </c>
      <c r="H194">
        <v>562</v>
      </c>
      <c r="I194">
        <v>0</v>
      </c>
      <c r="J194">
        <v>16860</v>
      </c>
      <c r="K194">
        <v>3392.13</v>
      </c>
    </row>
    <row r="195" spans="1:11" x14ac:dyDescent="0.2">
      <c r="A195">
        <v>2193</v>
      </c>
      <c r="B195" s="4">
        <v>45120</v>
      </c>
      <c r="C195" t="s">
        <v>13</v>
      </c>
      <c r="D195" t="s">
        <v>21</v>
      </c>
      <c r="E195" t="s">
        <v>26</v>
      </c>
      <c r="F195" t="s">
        <v>38</v>
      </c>
      <c r="G195">
        <v>39</v>
      </c>
      <c r="H195">
        <v>108433</v>
      </c>
      <c r="I195">
        <v>0</v>
      </c>
      <c r="J195">
        <v>4228887</v>
      </c>
      <c r="K195">
        <v>812260.63</v>
      </c>
    </row>
    <row r="196" spans="1:11" x14ac:dyDescent="0.2">
      <c r="A196">
        <v>2194</v>
      </c>
      <c r="B196" s="4">
        <v>45121</v>
      </c>
      <c r="C196" t="s">
        <v>15</v>
      </c>
      <c r="D196" t="s">
        <v>22</v>
      </c>
      <c r="E196" t="s">
        <v>34</v>
      </c>
      <c r="F196" t="s">
        <v>38</v>
      </c>
      <c r="G196">
        <v>22</v>
      </c>
      <c r="H196">
        <v>222036</v>
      </c>
      <c r="I196">
        <v>0</v>
      </c>
      <c r="J196">
        <v>4884792</v>
      </c>
      <c r="K196">
        <v>975728.45</v>
      </c>
    </row>
    <row r="197" spans="1:11" x14ac:dyDescent="0.2">
      <c r="A197">
        <v>2195</v>
      </c>
      <c r="B197" s="4">
        <v>45122</v>
      </c>
      <c r="C197" t="s">
        <v>17</v>
      </c>
      <c r="D197" t="s">
        <v>19</v>
      </c>
      <c r="E197" t="s">
        <v>25</v>
      </c>
      <c r="F197" t="s">
        <v>37</v>
      </c>
      <c r="G197">
        <v>16</v>
      </c>
      <c r="H197">
        <v>728</v>
      </c>
      <c r="I197">
        <v>0</v>
      </c>
      <c r="J197">
        <v>11648</v>
      </c>
      <c r="K197">
        <v>2839.77</v>
      </c>
    </row>
    <row r="198" spans="1:11" x14ac:dyDescent="0.2">
      <c r="A198">
        <v>2196</v>
      </c>
      <c r="B198" s="4">
        <v>45123</v>
      </c>
      <c r="C198" t="s">
        <v>14</v>
      </c>
      <c r="D198" t="s">
        <v>20</v>
      </c>
      <c r="E198" t="s">
        <v>27</v>
      </c>
      <c r="F198" t="s">
        <v>36</v>
      </c>
      <c r="G198">
        <v>10</v>
      </c>
      <c r="H198">
        <v>3529</v>
      </c>
      <c r="I198">
        <v>0.05</v>
      </c>
      <c r="J198">
        <v>33525.5</v>
      </c>
      <c r="K198">
        <v>4079.9</v>
      </c>
    </row>
    <row r="199" spans="1:11" x14ac:dyDescent="0.2">
      <c r="A199">
        <v>2197</v>
      </c>
      <c r="B199" s="4">
        <v>45124</v>
      </c>
      <c r="C199" t="s">
        <v>11</v>
      </c>
      <c r="D199" t="s">
        <v>21</v>
      </c>
      <c r="E199" t="s">
        <v>26</v>
      </c>
      <c r="F199" t="s">
        <v>36</v>
      </c>
      <c r="G199">
        <v>37</v>
      </c>
      <c r="H199">
        <v>138901</v>
      </c>
      <c r="I199">
        <v>0</v>
      </c>
      <c r="J199">
        <v>5139337</v>
      </c>
      <c r="K199">
        <v>1107225.49</v>
      </c>
    </row>
    <row r="200" spans="1:11" x14ac:dyDescent="0.2">
      <c r="A200">
        <v>2198</v>
      </c>
      <c r="B200" s="4">
        <v>45125</v>
      </c>
      <c r="C200" t="s">
        <v>17</v>
      </c>
      <c r="D200" t="s">
        <v>20</v>
      </c>
      <c r="E200" t="s">
        <v>24</v>
      </c>
      <c r="F200" t="s">
        <v>38</v>
      </c>
      <c r="G200">
        <v>4</v>
      </c>
      <c r="H200">
        <v>3681</v>
      </c>
      <c r="I200">
        <v>0.1</v>
      </c>
      <c r="J200">
        <v>13251.6</v>
      </c>
      <c r="K200">
        <v>1171.26</v>
      </c>
    </row>
    <row r="201" spans="1:11" x14ac:dyDescent="0.2">
      <c r="A201">
        <v>2199</v>
      </c>
      <c r="B201" s="4">
        <v>45126</v>
      </c>
      <c r="C201" t="s">
        <v>13</v>
      </c>
      <c r="D201" t="s">
        <v>22</v>
      </c>
      <c r="E201" t="s">
        <v>33</v>
      </c>
      <c r="F201" t="s">
        <v>38</v>
      </c>
      <c r="G201">
        <v>8</v>
      </c>
      <c r="H201">
        <v>31355</v>
      </c>
      <c r="I201">
        <v>0.05</v>
      </c>
      <c r="J201">
        <v>238298</v>
      </c>
      <c r="K201">
        <v>38154.67</v>
      </c>
    </row>
    <row r="202" spans="1:11" x14ac:dyDescent="0.2">
      <c r="A202">
        <v>2200</v>
      </c>
      <c r="B202" s="4">
        <v>45127</v>
      </c>
      <c r="C202" t="s">
        <v>11</v>
      </c>
      <c r="D202" t="s">
        <v>22</v>
      </c>
      <c r="E202" t="s">
        <v>34</v>
      </c>
      <c r="F202" t="s">
        <v>38</v>
      </c>
      <c r="G202">
        <v>14</v>
      </c>
      <c r="H202">
        <v>74997</v>
      </c>
      <c r="I202">
        <v>0.05</v>
      </c>
      <c r="J202">
        <v>997460.1</v>
      </c>
      <c r="K202">
        <v>169413.77</v>
      </c>
    </row>
    <row r="203" spans="1:11" x14ac:dyDescent="0.2">
      <c r="A203">
        <v>2201</v>
      </c>
      <c r="B203" s="4">
        <v>45128</v>
      </c>
      <c r="C203" t="s">
        <v>18</v>
      </c>
      <c r="D203" t="s">
        <v>22</v>
      </c>
      <c r="E203" t="s">
        <v>30</v>
      </c>
      <c r="F203" t="s">
        <v>37</v>
      </c>
      <c r="G203">
        <v>5</v>
      </c>
      <c r="H203">
        <v>30699</v>
      </c>
      <c r="I203">
        <v>0.05</v>
      </c>
      <c r="J203">
        <v>145820.25</v>
      </c>
      <c r="K203">
        <v>14765.11</v>
      </c>
    </row>
    <row r="204" spans="1:11" x14ac:dyDescent="0.2">
      <c r="A204">
        <v>2202</v>
      </c>
      <c r="B204" s="4">
        <v>45129</v>
      </c>
      <c r="C204" t="s">
        <v>16</v>
      </c>
      <c r="D204" t="s">
        <v>19</v>
      </c>
      <c r="E204" t="s">
        <v>28</v>
      </c>
      <c r="F204" t="s">
        <v>36</v>
      </c>
      <c r="G204">
        <v>30</v>
      </c>
      <c r="H204">
        <v>194</v>
      </c>
      <c r="I204">
        <v>0.1</v>
      </c>
      <c r="J204">
        <v>5238</v>
      </c>
      <c r="K204">
        <v>687.37</v>
      </c>
    </row>
    <row r="205" spans="1:11" x14ac:dyDescent="0.2">
      <c r="A205">
        <v>2203</v>
      </c>
      <c r="B205" s="4">
        <v>45130</v>
      </c>
      <c r="C205" t="s">
        <v>13</v>
      </c>
      <c r="D205" t="s">
        <v>19</v>
      </c>
      <c r="E205" t="s">
        <v>23</v>
      </c>
      <c r="F205" t="s">
        <v>38</v>
      </c>
      <c r="G205">
        <v>16</v>
      </c>
      <c r="H205">
        <v>576</v>
      </c>
      <c r="I205">
        <v>0.05</v>
      </c>
      <c r="J205">
        <v>8755.2000000000007</v>
      </c>
      <c r="K205">
        <v>1973.93</v>
      </c>
    </row>
    <row r="206" spans="1:11" x14ac:dyDescent="0.2">
      <c r="A206">
        <v>2204</v>
      </c>
      <c r="B206" s="4">
        <v>45131</v>
      </c>
      <c r="C206" t="s">
        <v>12</v>
      </c>
      <c r="D206" t="s">
        <v>19</v>
      </c>
      <c r="E206" t="s">
        <v>32</v>
      </c>
      <c r="F206" t="s">
        <v>36</v>
      </c>
      <c r="G206">
        <v>19</v>
      </c>
      <c r="H206">
        <v>414</v>
      </c>
      <c r="I206">
        <v>0.1</v>
      </c>
      <c r="J206">
        <v>7079.4</v>
      </c>
      <c r="K206">
        <v>1696.57</v>
      </c>
    </row>
    <row r="207" spans="1:11" x14ac:dyDescent="0.2">
      <c r="A207">
        <v>2205</v>
      </c>
      <c r="B207" s="4">
        <v>45132</v>
      </c>
      <c r="C207" t="s">
        <v>15</v>
      </c>
      <c r="D207" t="s">
        <v>22</v>
      </c>
      <c r="E207" t="s">
        <v>30</v>
      </c>
      <c r="F207" t="s">
        <v>38</v>
      </c>
      <c r="G207">
        <v>39</v>
      </c>
      <c r="H207">
        <v>54137</v>
      </c>
      <c r="I207">
        <v>0.1</v>
      </c>
      <c r="J207">
        <v>1900208.7</v>
      </c>
      <c r="K207">
        <v>394040.78</v>
      </c>
    </row>
    <row r="208" spans="1:11" x14ac:dyDescent="0.2">
      <c r="A208">
        <v>2206</v>
      </c>
      <c r="B208" s="4">
        <v>45133</v>
      </c>
      <c r="C208" t="s">
        <v>17</v>
      </c>
      <c r="D208" t="s">
        <v>21</v>
      </c>
      <c r="E208" t="s">
        <v>26</v>
      </c>
      <c r="F208" t="s">
        <v>36</v>
      </c>
      <c r="G208">
        <v>20</v>
      </c>
      <c r="H208">
        <v>32320</v>
      </c>
      <c r="I208">
        <v>0.1</v>
      </c>
      <c r="J208">
        <v>581760</v>
      </c>
      <c r="K208">
        <v>51390.59</v>
      </c>
    </row>
    <row r="209" spans="1:11" x14ac:dyDescent="0.2">
      <c r="A209">
        <v>2207</v>
      </c>
      <c r="B209" s="4">
        <v>45134</v>
      </c>
      <c r="C209" t="s">
        <v>14</v>
      </c>
      <c r="D209" t="s">
        <v>21</v>
      </c>
      <c r="E209" t="s">
        <v>31</v>
      </c>
      <c r="F209" t="s">
        <v>38</v>
      </c>
      <c r="G209">
        <v>15</v>
      </c>
      <c r="H209">
        <v>86384</v>
      </c>
      <c r="I209">
        <v>0.1</v>
      </c>
      <c r="J209">
        <v>1166184</v>
      </c>
      <c r="K209">
        <v>137338.54</v>
      </c>
    </row>
    <row r="210" spans="1:11" x14ac:dyDescent="0.2">
      <c r="A210">
        <v>2208</v>
      </c>
      <c r="B210" s="4">
        <v>45135</v>
      </c>
      <c r="C210" t="s">
        <v>11</v>
      </c>
      <c r="D210" t="s">
        <v>19</v>
      </c>
      <c r="E210" t="s">
        <v>35</v>
      </c>
      <c r="F210" t="s">
        <v>38</v>
      </c>
      <c r="G210">
        <v>28</v>
      </c>
      <c r="H210">
        <v>625</v>
      </c>
      <c r="I210">
        <v>0.05</v>
      </c>
      <c r="J210">
        <v>16625</v>
      </c>
      <c r="K210">
        <v>2752.07</v>
      </c>
    </row>
    <row r="211" spans="1:11" x14ac:dyDescent="0.2">
      <c r="A211">
        <v>2209</v>
      </c>
      <c r="B211" s="4">
        <v>45136</v>
      </c>
      <c r="C211" t="s">
        <v>14</v>
      </c>
      <c r="D211" t="s">
        <v>20</v>
      </c>
      <c r="E211" t="s">
        <v>24</v>
      </c>
      <c r="F211" t="s">
        <v>37</v>
      </c>
      <c r="G211">
        <v>38</v>
      </c>
      <c r="H211">
        <v>5500</v>
      </c>
      <c r="I211">
        <v>0.1</v>
      </c>
      <c r="J211">
        <v>188100</v>
      </c>
      <c r="K211">
        <v>21897.34</v>
      </c>
    </row>
    <row r="212" spans="1:11" x14ac:dyDescent="0.2">
      <c r="A212">
        <v>2210</v>
      </c>
      <c r="B212" s="4">
        <v>45137</v>
      </c>
      <c r="C212" t="s">
        <v>17</v>
      </c>
      <c r="D212" t="s">
        <v>19</v>
      </c>
      <c r="E212" t="s">
        <v>25</v>
      </c>
      <c r="F212" t="s">
        <v>37</v>
      </c>
      <c r="G212">
        <v>38</v>
      </c>
      <c r="H212">
        <v>582</v>
      </c>
      <c r="I212">
        <v>0.1</v>
      </c>
      <c r="J212">
        <v>19904.400000000001</v>
      </c>
      <c r="K212">
        <v>2426.9299999999998</v>
      </c>
    </row>
    <row r="213" spans="1:11" x14ac:dyDescent="0.2">
      <c r="A213">
        <v>2211</v>
      </c>
      <c r="B213" s="4">
        <v>45138</v>
      </c>
      <c r="C213" t="s">
        <v>12</v>
      </c>
      <c r="D213" t="s">
        <v>21</v>
      </c>
      <c r="E213" t="s">
        <v>26</v>
      </c>
      <c r="F213" t="s">
        <v>38</v>
      </c>
      <c r="G213">
        <v>14</v>
      </c>
      <c r="H213">
        <v>131320</v>
      </c>
      <c r="I213">
        <v>0.05</v>
      </c>
      <c r="J213">
        <v>1746556</v>
      </c>
      <c r="K213">
        <v>349888.55</v>
      </c>
    </row>
    <row r="214" spans="1:11" x14ac:dyDescent="0.2">
      <c r="A214">
        <v>2212</v>
      </c>
      <c r="B214" s="4">
        <v>45139</v>
      </c>
      <c r="C214" t="s">
        <v>15</v>
      </c>
      <c r="D214" t="s">
        <v>19</v>
      </c>
      <c r="E214" t="s">
        <v>23</v>
      </c>
      <c r="F214" t="s">
        <v>36</v>
      </c>
      <c r="G214">
        <v>29</v>
      </c>
      <c r="H214">
        <v>672</v>
      </c>
      <c r="I214">
        <v>0.1</v>
      </c>
      <c r="J214">
        <v>17539.2</v>
      </c>
      <c r="K214">
        <v>1897.22</v>
      </c>
    </row>
    <row r="215" spans="1:11" x14ac:dyDescent="0.2">
      <c r="A215">
        <v>2213</v>
      </c>
      <c r="B215" s="4">
        <v>45140</v>
      </c>
      <c r="C215" t="s">
        <v>17</v>
      </c>
      <c r="D215" t="s">
        <v>22</v>
      </c>
      <c r="E215" t="s">
        <v>30</v>
      </c>
      <c r="F215" t="s">
        <v>36</v>
      </c>
      <c r="G215">
        <v>20</v>
      </c>
      <c r="H215">
        <v>139306</v>
      </c>
      <c r="I215">
        <v>0.1</v>
      </c>
      <c r="J215">
        <v>2507508</v>
      </c>
      <c r="K215">
        <v>470261.25</v>
      </c>
    </row>
    <row r="216" spans="1:11" x14ac:dyDescent="0.2">
      <c r="A216">
        <v>2214</v>
      </c>
      <c r="B216" s="4">
        <v>45141</v>
      </c>
      <c r="C216" t="s">
        <v>18</v>
      </c>
      <c r="D216" t="s">
        <v>21</v>
      </c>
      <c r="E216" t="s">
        <v>26</v>
      </c>
      <c r="F216" t="s">
        <v>37</v>
      </c>
      <c r="G216">
        <v>38</v>
      </c>
      <c r="H216">
        <v>25723</v>
      </c>
      <c r="I216">
        <v>0.05</v>
      </c>
      <c r="J216">
        <v>928600.3</v>
      </c>
      <c r="K216">
        <v>100356.12</v>
      </c>
    </row>
    <row r="217" spans="1:11" x14ac:dyDescent="0.2">
      <c r="A217">
        <v>2215</v>
      </c>
      <c r="B217" s="4">
        <v>45142</v>
      </c>
      <c r="C217" t="s">
        <v>11</v>
      </c>
      <c r="D217" t="s">
        <v>19</v>
      </c>
      <c r="E217" t="s">
        <v>23</v>
      </c>
      <c r="F217" t="s">
        <v>36</v>
      </c>
      <c r="G217">
        <v>25</v>
      </c>
      <c r="H217">
        <v>580</v>
      </c>
      <c r="I217">
        <v>0</v>
      </c>
      <c r="J217">
        <v>14500</v>
      </c>
      <c r="K217">
        <v>3410.58</v>
      </c>
    </row>
    <row r="218" spans="1:11" x14ac:dyDescent="0.2">
      <c r="A218">
        <v>2216</v>
      </c>
      <c r="B218" s="4">
        <v>45143</v>
      </c>
      <c r="C218" t="s">
        <v>15</v>
      </c>
      <c r="D218" t="s">
        <v>22</v>
      </c>
      <c r="E218" t="s">
        <v>30</v>
      </c>
      <c r="F218" t="s">
        <v>37</v>
      </c>
      <c r="G218">
        <v>21</v>
      </c>
      <c r="H218">
        <v>135439</v>
      </c>
      <c r="I218">
        <v>0.1</v>
      </c>
      <c r="J218">
        <v>2559797.1</v>
      </c>
      <c r="K218">
        <v>385121.52</v>
      </c>
    </row>
    <row r="219" spans="1:11" x14ac:dyDescent="0.2">
      <c r="A219">
        <v>2217</v>
      </c>
      <c r="B219" s="4">
        <v>45144</v>
      </c>
      <c r="C219" t="s">
        <v>17</v>
      </c>
      <c r="D219" t="s">
        <v>21</v>
      </c>
      <c r="E219" t="s">
        <v>26</v>
      </c>
      <c r="F219" t="s">
        <v>36</v>
      </c>
      <c r="G219">
        <v>16</v>
      </c>
      <c r="H219">
        <v>138867</v>
      </c>
      <c r="I219">
        <v>0</v>
      </c>
      <c r="J219">
        <v>2221872</v>
      </c>
      <c r="K219">
        <v>181887.08</v>
      </c>
    </row>
    <row r="220" spans="1:11" x14ac:dyDescent="0.2">
      <c r="A220">
        <v>2218</v>
      </c>
      <c r="B220" s="4">
        <v>45145</v>
      </c>
      <c r="C220" t="s">
        <v>17</v>
      </c>
      <c r="D220" t="s">
        <v>21</v>
      </c>
      <c r="E220" t="s">
        <v>31</v>
      </c>
      <c r="F220" t="s">
        <v>36</v>
      </c>
      <c r="G220">
        <v>38</v>
      </c>
      <c r="H220">
        <v>22219</v>
      </c>
      <c r="I220">
        <v>0</v>
      </c>
      <c r="J220">
        <v>844322</v>
      </c>
      <c r="K220">
        <v>145022.26</v>
      </c>
    </row>
    <row r="221" spans="1:11" x14ac:dyDescent="0.2">
      <c r="A221">
        <v>2219</v>
      </c>
      <c r="B221" s="4">
        <v>45146</v>
      </c>
      <c r="C221" t="s">
        <v>15</v>
      </c>
      <c r="D221" t="s">
        <v>19</v>
      </c>
      <c r="E221" t="s">
        <v>35</v>
      </c>
      <c r="F221" t="s">
        <v>36</v>
      </c>
      <c r="G221">
        <v>19</v>
      </c>
      <c r="H221">
        <v>337</v>
      </c>
      <c r="I221">
        <v>0.1</v>
      </c>
      <c r="J221">
        <v>5762.7</v>
      </c>
      <c r="K221">
        <v>532.04999999999995</v>
      </c>
    </row>
    <row r="222" spans="1:11" x14ac:dyDescent="0.2">
      <c r="A222">
        <v>2220</v>
      </c>
      <c r="B222" s="4">
        <v>45147</v>
      </c>
      <c r="C222" t="s">
        <v>13</v>
      </c>
      <c r="D222" t="s">
        <v>22</v>
      </c>
      <c r="E222" t="s">
        <v>34</v>
      </c>
      <c r="F222" t="s">
        <v>36</v>
      </c>
      <c r="G222">
        <v>29</v>
      </c>
      <c r="H222">
        <v>166434</v>
      </c>
      <c r="I222">
        <v>0.05</v>
      </c>
      <c r="J222">
        <v>4585256.7</v>
      </c>
      <c r="K222">
        <v>1099191.1299999999</v>
      </c>
    </row>
    <row r="223" spans="1:11" x14ac:dyDescent="0.2">
      <c r="A223">
        <v>2221</v>
      </c>
      <c r="B223" s="4">
        <v>45148</v>
      </c>
      <c r="C223" t="s">
        <v>15</v>
      </c>
      <c r="D223" t="s">
        <v>19</v>
      </c>
      <c r="E223" t="s">
        <v>25</v>
      </c>
      <c r="F223" t="s">
        <v>38</v>
      </c>
      <c r="G223">
        <v>14</v>
      </c>
      <c r="H223">
        <v>211</v>
      </c>
      <c r="I223">
        <v>0.05</v>
      </c>
      <c r="J223">
        <v>2806.3</v>
      </c>
      <c r="K223">
        <v>484.53</v>
      </c>
    </row>
    <row r="224" spans="1:11" x14ac:dyDescent="0.2">
      <c r="A224">
        <v>2222</v>
      </c>
      <c r="B224" s="4">
        <v>45149</v>
      </c>
      <c r="C224" t="s">
        <v>14</v>
      </c>
      <c r="D224" t="s">
        <v>19</v>
      </c>
      <c r="E224" t="s">
        <v>28</v>
      </c>
      <c r="F224" t="s">
        <v>36</v>
      </c>
      <c r="G224">
        <v>40</v>
      </c>
      <c r="H224">
        <v>375</v>
      </c>
      <c r="I224">
        <v>0.05</v>
      </c>
      <c r="J224">
        <v>14250</v>
      </c>
      <c r="K224">
        <v>1491.86</v>
      </c>
    </row>
    <row r="225" spans="1:11" x14ac:dyDescent="0.2">
      <c r="A225">
        <v>2223</v>
      </c>
      <c r="B225" s="4">
        <v>45150</v>
      </c>
      <c r="C225" t="s">
        <v>18</v>
      </c>
      <c r="D225" t="s">
        <v>21</v>
      </c>
      <c r="E225" t="s">
        <v>31</v>
      </c>
      <c r="F225" t="s">
        <v>36</v>
      </c>
      <c r="G225">
        <v>33</v>
      </c>
      <c r="H225">
        <v>143168</v>
      </c>
      <c r="I225">
        <v>0.1</v>
      </c>
      <c r="J225">
        <v>4252089.5999999996</v>
      </c>
      <c r="K225">
        <v>613440.79</v>
      </c>
    </row>
    <row r="226" spans="1:11" x14ac:dyDescent="0.2">
      <c r="A226">
        <v>2224</v>
      </c>
      <c r="B226" s="4">
        <v>45151</v>
      </c>
      <c r="C226" t="s">
        <v>13</v>
      </c>
      <c r="D226" t="s">
        <v>21</v>
      </c>
      <c r="E226" t="s">
        <v>31</v>
      </c>
      <c r="F226" t="s">
        <v>37</v>
      </c>
      <c r="G226">
        <v>29</v>
      </c>
      <c r="H226">
        <v>92221</v>
      </c>
      <c r="I226">
        <v>0</v>
      </c>
      <c r="J226">
        <v>2674409</v>
      </c>
      <c r="K226">
        <v>529001.80000000005</v>
      </c>
    </row>
    <row r="227" spans="1:11" x14ac:dyDescent="0.2">
      <c r="A227">
        <v>2225</v>
      </c>
      <c r="B227" s="4">
        <v>45152</v>
      </c>
      <c r="C227" t="s">
        <v>16</v>
      </c>
      <c r="D227" t="s">
        <v>22</v>
      </c>
      <c r="E227" t="s">
        <v>30</v>
      </c>
      <c r="F227" t="s">
        <v>38</v>
      </c>
      <c r="G227">
        <v>20</v>
      </c>
      <c r="H227">
        <v>217822</v>
      </c>
      <c r="I227">
        <v>0.05</v>
      </c>
      <c r="J227">
        <v>4138618</v>
      </c>
      <c r="K227">
        <v>818924.13</v>
      </c>
    </row>
    <row r="228" spans="1:11" x14ac:dyDescent="0.2">
      <c r="A228">
        <v>2226</v>
      </c>
      <c r="B228" s="4">
        <v>45153</v>
      </c>
      <c r="C228" t="s">
        <v>14</v>
      </c>
      <c r="D228" t="s">
        <v>19</v>
      </c>
      <c r="E228" t="s">
        <v>25</v>
      </c>
      <c r="F228" t="s">
        <v>36</v>
      </c>
      <c r="G228">
        <v>22</v>
      </c>
      <c r="H228">
        <v>755</v>
      </c>
      <c r="I228">
        <v>0.05</v>
      </c>
      <c r="J228">
        <v>15779.5</v>
      </c>
      <c r="K228">
        <v>2342.71</v>
      </c>
    </row>
    <row r="229" spans="1:11" x14ac:dyDescent="0.2">
      <c r="A229">
        <v>2227</v>
      </c>
      <c r="B229" s="4">
        <v>45154</v>
      </c>
      <c r="C229" t="s">
        <v>16</v>
      </c>
      <c r="D229" t="s">
        <v>21</v>
      </c>
      <c r="E229" t="s">
        <v>29</v>
      </c>
      <c r="F229" t="s">
        <v>36</v>
      </c>
      <c r="G229">
        <v>6</v>
      </c>
      <c r="H229">
        <v>46567</v>
      </c>
      <c r="I229">
        <v>0</v>
      </c>
      <c r="J229">
        <v>279402</v>
      </c>
      <c r="K229">
        <v>30059.96</v>
      </c>
    </row>
    <row r="230" spans="1:11" x14ac:dyDescent="0.2">
      <c r="A230">
        <v>2228</v>
      </c>
      <c r="B230" s="4">
        <v>45155</v>
      </c>
      <c r="C230" t="s">
        <v>18</v>
      </c>
      <c r="D230" t="s">
        <v>19</v>
      </c>
      <c r="E230" t="s">
        <v>35</v>
      </c>
      <c r="F230" t="s">
        <v>37</v>
      </c>
      <c r="G230">
        <v>3</v>
      </c>
      <c r="H230">
        <v>446</v>
      </c>
      <c r="I230">
        <v>0</v>
      </c>
      <c r="J230">
        <v>1338</v>
      </c>
      <c r="K230">
        <v>164.56</v>
      </c>
    </row>
    <row r="231" spans="1:11" x14ac:dyDescent="0.2">
      <c r="A231">
        <v>2229</v>
      </c>
      <c r="B231" s="4">
        <v>45156</v>
      </c>
      <c r="C231" t="s">
        <v>16</v>
      </c>
      <c r="D231" t="s">
        <v>19</v>
      </c>
      <c r="E231" t="s">
        <v>35</v>
      </c>
      <c r="F231" t="s">
        <v>38</v>
      </c>
      <c r="G231">
        <v>23</v>
      </c>
      <c r="H231">
        <v>672</v>
      </c>
      <c r="I231">
        <v>0.1</v>
      </c>
      <c r="J231">
        <v>13910.4</v>
      </c>
      <c r="K231">
        <v>2772.35</v>
      </c>
    </row>
    <row r="232" spans="1:11" x14ac:dyDescent="0.2">
      <c r="A232">
        <v>2230</v>
      </c>
      <c r="B232" s="4">
        <v>45157</v>
      </c>
      <c r="C232" t="s">
        <v>17</v>
      </c>
      <c r="D232" t="s">
        <v>21</v>
      </c>
      <c r="E232" t="s">
        <v>26</v>
      </c>
      <c r="F232" t="s">
        <v>37</v>
      </c>
      <c r="G232">
        <v>32</v>
      </c>
      <c r="H232">
        <v>70795</v>
      </c>
      <c r="I232">
        <v>0</v>
      </c>
      <c r="J232">
        <v>2265440</v>
      </c>
      <c r="K232">
        <v>288511.59000000003</v>
      </c>
    </row>
    <row r="233" spans="1:11" x14ac:dyDescent="0.2">
      <c r="A233">
        <v>2231</v>
      </c>
      <c r="B233" s="4">
        <v>45158</v>
      </c>
      <c r="C233" t="s">
        <v>18</v>
      </c>
      <c r="D233" t="s">
        <v>20</v>
      </c>
      <c r="E233" t="s">
        <v>27</v>
      </c>
      <c r="F233" t="s">
        <v>37</v>
      </c>
      <c r="G233">
        <v>19</v>
      </c>
      <c r="H233">
        <v>7870</v>
      </c>
      <c r="I233">
        <v>0.1</v>
      </c>
      <c r="J233">
        <v>134577</v>
      </c>
      <c r="K233">
        <v>23460.93</v>
      </c>
    </row>
    <row r="234" spans="1:11" x14ac:dyDescent="0.2">
      <c r="A234">
        <v>2232</v>
      </c>
      <c r="B234" s="4">
        <v>45159</v>
      </c>
      <c r="C234" t="s">
        <v>12</v>
      </c>
      <c r="D234" t="s">
        <v>19</v>
      </c>
      <c r="E234" t="s">
        <v>25</v>
      </c>
      <c r="F234" t="s">
        <v>38</v>
      </c>
      <c r="G234">
        <v>38</v>
      </c>
      <c r="H234">
        <v>514</v>
      </c>
      <c r="I234">
        <v>0.05</v>
      </c>
      <c r="J234">
        <v>18555.400000000001</v>
      </c>
      <c r="K234">
        <v>2674.63</v>
      </c>
    </row>
    <row r="235" spans="1:11" x14ac:dyDescent="0.2">
      <c r="A235">
        <v>2233</v>
      </c>
      <c r="B235" s="4">
        <v>45160</v>
      </c>
      <c r="C235" t="s">
        <v>17</v>
      </c>
      <c r="D235" t="s">
        <v>19</v>
      </c>
      <c r="E235" t="s">
        <v>28</v>
      </c>
      <c r="F235" t="s">
        <v>38</v>
      </c>
      <c r="G235">
        <v>29</v>
      </c>
      <c r="H235">
        <v>172</v>
      </c>
      <c r="I235">
        <v>0.1</v>
      </c>
      <c r="J235">
        <v>4489.2</v>
      </c>
      <c r="K235">
        <v>1018.68</v>
      </c>
    </row>
    <row r="236" spans="1:11" x14ac:dyDescent="0.2">
      <c r="A236">
        <v>2234</v>
      </c>
      <c r="B236" s="4">
        <v>45161</v>
      </c>
      <c r="C236" t="s">
        <v>14</v>
      </c>
      <c r="D236" t="s">
        <v>21</v>
      </c>
      <c r="E236" t="s">
        <v>29</v>
      </c>
      <c r="F236" t="s">
        <v>38</v>
      </c>
      <c r="G236">
        <v>10</v>
      </c>
      <c r="H236">
        <v>96619</v>
      </c>
      <c r="I236">
        <v>0.05</v>
      </c>
      <c r="J236">
        <v>917880.5</v>
      </c>
      <c r="K236">
        <v>151132.81</v>
      </c>
    </row>
    <row r="237" spans="1:11" x14ac:dyDescent="0.2">
      <c r="A237">
        <v>2235</v>
      </c>
      <c r="B237" s="4">
        <v>45162</v>
      </c>
      <c r="C237" t="s">
        <v>12</v>
      </c>
      <c r="D237" t="s">
        <v>22</v>
      </c>
      <c r="E237" t="s">
        <v>34</v>
      </c>
      <c r="F237" t="s">
        <v>37</v>
      </c>
      <c r="G237">
        <v>14</v>
      </c>
      <c r="H237">
        <v>211844</v>
      </c>
      <c r="I237">
        <v>0</v>
      </c>
      <c r="J237">
        <v>2965816</v>
      </c>
      <c r="K237">
        <v>265688.83</v>
      </c>
    </row>
    <row r="238" spans="1:11" x14ac:dyDescent="0.2">
      <c r="A238">
        <v>2236</v>
      </c>
      <c r="B238" s="4">
        <v>45163</v>
      </c>
      <c r="C238" t="s">
        <v>13</v>
      </c>
      <c r="D238" t="s">
        <v>20</v>
      </c>
      <c r="E238" t="s">
        <v>27</v>
      </c>
      <c r="F238" t="s">
        <v>36</v>
      </c>
      <c r="G238">
        <v>26</v>
      </c>
      <c r="H238">
        <v>3794</v>
      </c>
      <c r="I238">
        <v>0.1</v>
      </c>
      <c r="J238">
        <v>88779.6</v>
      </c>
      <c r="K238">
        <v>15829.94</v>
      </c>
    </row>
    <row r="239" spans="1:11" x14ac:dyDescent="0.2">
      <c r="A239">
        <v>2237</v>
      </c>
      <c r="B239" s="4">
        <v>45164</v>
      </c>
      <c r="C239" t="s">
        <v>12</v>
      </c>
      <c r="D239" t="s">
        <v>21</v>
      </c>
      <c r="E239" t="s">
        <v>26</v>
      </c>
      <c r="F239" t="s">
        <v>37</v>
      </c>
      <c r="G239">
        <v>22</v>
      </c>
      <c r="H239">
        <v>15390</v>
      </c>
      <c r="I239">
        <v>0</v>
      </c>
      <c r="J239">
        <v>338580</v>
      </c>
      <c r="K239">
        <v>82563.66</v>
      </c>
    </row>
    <row r="240" spans="1:11" x14ac:dyDescent="0.2">
      <c r="A240">
        <v>2238</v>
      </c>
      <c r="B240" s="4">
        <v>45165</v>
      </c>
      <c r="C240" t="s">
        <v>12</v>
      </c>
      <c r="D240" t="s">
        <v>20</v>
      </c>
      <c r="E240" t="s">
        <v>24</v>
      </c>
      <c r="F240" t="s">
        <v>37</v>
      </c>
      <c r="G240">
        <v>39</v>
      </c>
      <c r="H240">
        <v>6048</v>
      </c>
      <c r="I240">
        <v>0.1</v>
      </c>
      <c r="J240">
        <v>212284.79999999999</v>
      </c>
      <c r="K240">
        <v>27432.26</v>
      </c>
    </row>
    <row r="241" spans="1:11" x14ac:dyDescent="0.2">
      <c r="A241">
        <v>2239</v>
      </c>
      <c r="B241" s="4">
        <v>45166</v>
      </c>
      <c r="C241" t="s">
        <v>15</v>
      </c>
      <c r="D241" t="s">
        <v>21</v>
      </c>
      <c r="E241" t="s">
        <v>29</v>
      </c>
      <c r="F241" t="s">
        <v>36</v>
      </c>
      <c r="G241">
        <v>13</v>
      </c>
      <c r="H241">
        <v>41863</v>
      </c>
      <c r="I241">
        <v>0.05</v>
      </c>
      <c r="J241">
        <v>517008.05</v>
      </c>
      <c r="K241">
        <v>104334.65</v>
      </c>
    </row>
    <row r="242" spans="1:11" x14ac:dyDescent="0.2">
      <c r="A242">
        <v>2240</v>
      </c>
      <c r="B242" s="4">
        <v>45167</v>
      </c>
      <c r="C242" t="s">
        <v>12</v>
      </c>
      <c r="D242" t="s">
        <v>22</v>
      </c>
      <c r="E242" t="s">
        <v>33</v>
      </c>
      <c r="F242" t="s">
        <v>38</v>
      </c>
      <c r="G242">
        <v>35</v>
      </c>
      <c r="H242">
        <v>40321</v>
      </c>
      <c r="I242">
        <v>0.1</v>
      </c>
      <c r="J242">
        <v>1270111.5</v>
      </c>
      <c r="K242">
        <v>165223.76999999999</v>
      </c>
    </row>
    <row r="243" spans="1:11" x14ac:dyDescent="0.2">
      <c r="A243">
        <v>2241</v>
      </c>
      <c r="B243" s="4">
        <v>45168</v>
      </c>
      <c r="C243" t="s">
        <v>16</v>
      </c>
      <c r="D243" t="s">
        <v>22</v>
      </c>
      <c r="E243" t="s">
        <v>33</v>
      </c>
      <c r="F243" t="s">
        <v>38</v>
      </c>
      <c r="G243">
        <v>34</v>
      </c>
      <c r="H243">
        <v>68821</v>
      </c>
      <c r="I243">
        <v>0.05</v>
      </c>
      <c r="J243">
        <v>2222918.2999999998</v>
      </c>
      <c r="K243">
        <v>467668.1</v>
      </c>
    </row>
    <row r="244" spans="1:11" x14ac:dyDescent="0.2">
      <c r="A244">
        <v>2242</v>
      </c>
      <c r="B244" s="4">
        <v>45169</v>
      </c>
      <c r="C244" t="s">
        <v>12</v>
      </c>
      <c r="D244" t="s">
        <v>21</v>
      </c>
      <c r="E244" t="s">
        <v>31</v>
      </c>
      <c r="F244" t="s">
        <v>38</v>
      </c>
      <c r="G244">
        <v>26</v>
      </c>
      <c r="H244">
        <v>64392</v>
      </c>
      <c r="I244">
        <v>0</v>
      </c>
      <c r="J244">
        <v>1674192</v>
      </c>
      <c r="K244">
        <v>357250.25</v>
      </c>
    </row>
    <row r="245" spans="1:11" x14ac:dyDescent="0.2">
      <c r="A245">
        <v>2243</v>
      </c>
      <c r="B245" s="4">
        <v>45170</v>
      </c>
      <c r="C245" t="s">
        <v>14</v>
      </c>
      <c r="D245" t="s">
        <v>22</v>
      </c>
      <c r="E245" t="s">
        <v>33</v>
      </c>
      <c r="F245" t="s">
        <v>37</v>
      </c>
      <c r="G245">
        <v>4</v>
      </c>
      <c r="H245">
        <v>26275</v>
      </c>
      <c r="I245">
        <v>0.05</v>
      </c>
      <c r="J245">
        <v>99845</v>
      </c>
      <c r="K245">
        <v>24416.42</v>
      </c>
    </row>
    <row r="246" spans="1:11" x14ac:dyDescent="0.2">
      <c r="A246">
        <v>2244</v>
      </c>
      <c r="B246" s="4">
        <v>45171</v>
      </c>
      <c r="C246" t="s">
        <v>14</v>
      </c>
      <c r="D246" t="s">
        <v>21</v>
      </c>
      <c r="E246" t="s">
        <v>26</v>
      </c>
      <c r="F246" t="s">
        <v>37</v>
      </c>
      <c r="G246">
        <v>13</v>
      </c>
      <c r="H246">
        <v>43666</v>
      </c>
      <c r="I246">
        <v>0.1</v>
      </c>
      <c r="J246">
        <v>510892.2</v>
      </c>
      <c r="K246">
        <v>92517.15</v>
      </c>
    </row>
    <row r="247" spans="1:11" x14ac:dyDescent="0.2">
      <c r="A247">
        <v>2245</v>
      </c>
      <c r="B247" s="4">
        <v>45172</v>
      </c>
      <c r="C247" t="s">
        <v>16</v>
      </c>
      <c r="D247" t="s">
        <v>22</v>
      </c>
      <c r="E247" t="s">
        <v>30</v>
      </c>
      <c r="F247" t="s">
        <v>38</v>
      </c>
      <c r="G247">
        <v>40</v>
      </c>
      <c r="H247">
        <v>88224</v>
      </c>
      <c r="I247">
        <v>0</v>
      </c>
      <c r="J247">
        <v>3528960</v>
      </c>
      <c r="K247">
        <v>879468.95</v>
      </c>
    </row>
    <row r="248" spans="1:11" x14ac:dyDescent="0.2">
      <c r="A248">
        <v>2246</v>
      </c>
      <c r="B248" s="4">
        <v>45173</v>
      </c>
      <c r="C248" t="s">
        <v>18</v>
      </c>
      <c r="D248" t="s">
        <v>22</v>
      </c>
      <c r="E248" t="s">
        <v>33</v>
      </c>
      <c r="F248" t="s">
        <v>38</v>
      </c>
      <c r="G248">
        <v>23</v>
      </c>
      <c r="H248">
        <v>198888</v>
      </c>
      <c r="I248">
        <v>0.05</v>
      </c>
      <c r="J248">
        <v>4345702.8</v>
      </c>
      <c r="K248">
        <v>701675.97</v>
      </c>
    </row>
    <row r="249" spans="1:11" x14ac:dyDescent="0.2">
      <c r="A249">
        <v>2247</v>
      </c>
      <c r="B249" s="4">
        <v>45174</v>
      </c>
      <c r="C249" t="s">
        <v>17</v>
      </c>
      <c r="D249" t="s">
        <v>22</v>
      </c>
      <c r="E249" t="s">
        <v>30</v>
      </c>
      <c r="F249" t="s">
        <v>36</v>
      </c>
      <c r="G249">
        <v>3</v>
      </c>
      <c r="H249">
        <v>249567</v>
      </c>
      <c r="I249">
        <v>0.05</v>
      </c>
      <c r="J249">
        <v>711265.95</v>
      </c>
      <c r="K249">
        <v>109811.61</v>
      </c>
    </row>
    <row r="250" spans="1:11" x14ac:dyDescent="0.2">
      <c r="A250">
        <v>2248</v>
      </c>
      <c r="B250" s="4">
        <v>45175</v>
      </c>
      <c r="C250" t="s">
        <v>13</v>
      </c>
      <c r="D250" t="s">
        <v>21</v>
      </c>
      <c r="E250" t="s">
        <v>26</v>
      </c>
      <c r="F250" t="s">
        <v>36</v>
      </c>
      <c r="G250">
        <v>11</v>
      </c>
      <c r="H250">
        <v>87967</v>
      </c>
      <c r="I250">
        <v>0</v>
      </c>
      <c r="J250">
        <v>967637</v>
      </c>
      <c r="K250">
        <v>140226.46</v>
      </c>
    </row>
    <row r="251" spans="1:11" x14ac:dyDescent="0.2">
      <c r="A251">
        <v>2249</v>
      </c>
      <c r="B251" s="4">
        <v>45176</v>
      </c>
      <c r="C251" t="s">
        <v>15</v>
      </c>
      <c r="D251" t="s">
        <v>22</v>
      </c>
      <c r="E251" t="s">
        <v>30</v>
      </c>
      <c r="F251" t="s">
        <v>36</v>
      </c>
      <c r="G251">
        <v>36</v>
      </c>
      <c r="H251">
        <v>124457</v>
      </c>
      <c r="I251">
        <v>0</v>
      </c>
      <c r="J251">
        <v>4480452</v>
      </c>
      <c r="K251">
        <v>715211.66</v>
      </c>
    </row>
    <row r="252" spans="1:11" x14ac:dyDescent="0.2">
      <c r="A252">
        <v>2250</v>
      </c>
      <c r="B252" s="4">
        <v>45177</v>
      </c>
      <c r="C252" t="s">
        <v>14</v>
      </c>
      <c r="D252" t="s">
        <v>21</v>
      </c>
      <c r="E252" t="s">
        <v>31</v>
      </c>
      <c r="F252" t="s">
        <v>38</v>
      </c>
      <c r="G252">
        <v>34</v>
      </c>
      <c r="H252">
        <v>98310</v>
      </c>
      <c r="I252">
        <v>0.05</v>
      </c>
      <c r="J252">
        <v>3175413</v>
      </c>
      <c r="K252">
        <v>778630.8</v>
      </c>
    </row>
    <row r="253" spans="1:11" x14ac:dyDescent="0.2">
      <c r="A253">
        <v>2251</v>
      </c>
      <c r="B253" s="4">
        <v>45178</v>
      </c>
      <c r="C253" t="s">
        <v>18</v>
      </c>
      <c r="D253" t="s">
        <v>21</v>
      </c>
      <c r="E253" t="s">
        <v>29</v>
      </c>
      <c r="F253" t="s">
        <v>38</v>
      </c>
      <c r="G253">
        <v>12</v>
      </c>
      <c r="H253">
        <v>27786</v>
      </c>
      <c r="I253">
        <v>0</v>
      </c>
      <c r="J253">
        <v>333432</v>
      </c>
      <c r="K253">
        <v>41735.730000000003</v>
      </c>
    </row>
    <row r="254" spans="1:11" x14ac:dyDescent="0.2">
      <c r="A254">
        <v>2252</v>
      </c>
      <c r="B254" s="4">
        <v>45179</v>
      </c>
      <c r="C254" t="s">
        <v>18</v>
      </c>
      <c r="D254" t="s">
        <v>21</v>
      </c>
      <c r="E254" t="s">
        <v>31</v>
      </c>
      <c r="F254" t="s">
        <v>36</v>
      </c>
      <c r="G254">
        <v>35</v>
      </c>
      <c r="H254">
        <v>71177</v>
      </c>
      <c r="I254">
        <v>0</v>
      </c>
      <c r="J254">
        <v>2491195</v>
      </c>
      <c r="K254">
        <v>556655.48</v>
      </c>
    </row>
    <row r="255" spans="1:11" x14ac:dyDescent="0.2">
      <c r="A255">
        <v>2253</v>
      </c>
      <c r="B255" s="4">
        <v>45180</v>
      </c>
      <c r="C255" t="s">
        <v>15</v>
      </c>
      <c r="D255" t="s">
        <v>21</v>
      </c>
      <c r="E255" t="s">
        <v>26</v>
      </c>
      <c r="F255" t="s">
        <v>37</v>
      </c>
      <c r="G255">
        <v>10</v>
      </c>
      <c r="H255">
        <v>149332</v>
      </c>
      <c r="I255">
        <v>0.1</v>
      </c>
      <c r="J255">
        <v>1343988</v>
      </c>
      <c r="K255">
        <v>209017.94</v>
      </c>
    </row>
    <row r="256" spans="1:11" x14ac:dyDescent="0.2">
      <c r="A256">
        <v>2254</v>
      </c>
      <c r="B256" s="4">
        <v>45181</v>
      </c>
      <c r="C256" t="s">
        <v>13</v>
      </c>
      <c r="D256" t="s">
        <v>20</v>
      </c>
      <c r="E256" t="s">
        <v>24</v>
      </c>
      <c r="F256" t="s">
        <v>36</v>
      </c>
      <c r="G256">
        <v>5</v>
      </c>
      <c r="H256">
        <v>4636</v>
      </c>
      <c r="I256">
        <v>0</v>
      </c>
      <c r="J256">
        <v>23180</v>
      </c>
      <c r="K256">
        <v>2146.48</v>
      </c>
    </row>
    <row r="257" spans="1:11" x14ac:dyDescent="0.2">
      <c r="A257">
        <v>2255</v>
      </c>
      <c r="B257" s="4">
        <v>45182</v>
      </c>
      <c r="C257" t="s">
        <v>14</v>
      </c>
      <c r="D257" t="s">
        <v>19</v>
      </c>
      <c r="E257" t="s">
        <v>32</v>
      </c>
      <c r="F257" t="s">
        <v>38</v>
      </c>
      <c r="G257">
        <v>35</v>
      </c>
      <c r="H257">
        <v>365</v>
      </c>
      <c r="I257">
        <v>0.05</v>
      </c>
      <c r="J257">
        <v>12136.25</v>
      </c>
      <c r="K257">
        <v>1158.56</v>
      </c>
    </row>
    <row r="258" spans="1:11" x14ac:dyDescent="0.2">
      <c r="A258">
        <v>2256</v>
      </c>
      <c r="B258" s="4">
        <v>45183</v>
      </c>
      <c r="C258" t="s">
        <v>11</v>
      </c>
      <c r="D258" t="s">
        <v>21</v>
      </c>
      <c r="E258" t="s">
        <v>26</v>
      </c>
      <c r="F258" t="s">
        <v>36</v>
      </c>
      <c r="G258">
        <v>30</v>
      </c>
      <c r="H258">
        <v>34661</v>
      </c>
      <c r="I258">
        <v>0.05</v>
      </c>
      <c r="J258">
        <v>987838.5</v>
      </c>
      <c r="K258">
        <v>141325.25</v>
      </c>
    </row>
    <row r="259" spans="1:11" x14ac:dyDescent="0.2">
      <c r="A259">
        <v>2257</v>
      </c>
      <c r="B259" s="4">
        <v>45184</v>
      </c>
      <c r="C259" t="s">
        <v>14</v>
      </c>
      <c r="D259" t="s">
        <v>19</v>
      </c>
      <c r="E259" t="s">
        <v>23</v>
      </c>
      <c r="F259" t="s">
        <v>38</v>
      </c>
      <c r="G259">
        <v>40</v>
      </c>
      <c r="H259">
        <v>159</v>
      </c>
      <c r="I259">
        <v>0.05</v>
      </c>
      <c r="J259">
        <v>6042</v>
      </c>
      <c r="K259">
        <v>783.96</v>
      </c>
    </row>
    <row r="260" spans="1:11" x14ac:dyDescent="0.2">
      <c r="A260">
        <v>2258</v>
      </c>
      <c r="B260" s="4">
        <v>45185</v>
      </c>
      <c r="C260" t="s">
        <v>14</v>
      </c>
      <c r="D260" t="s">
        <v>21</v>
      </c>
      <c r="E260" t="s">
        <v>29</v>
      </c>
      <c r="F260" t="s">
        <v>38</v>
      </c>
      <c r="G260">
        <v>24</v>
      </c>
      <c r="H260">
        <v>129067</v>
      </c>
      <c r="I260">
        <v>0.05</v>
      </c>
      <c r="J260">
        <v>2942727.6</v>
      </c>
      <c r="K260">
        <v>522453.96</v>
      </c>
    </row>
    <row r="261" spans="1:11" x14ac:dyDescent="0.2">
      <c r="A261">
        <v>2259</v>
      </c>
      <c r="B261" s="4">
        <v>45186</v>
      </c>
      <c r="C261" t="s">
        <v>16</v>
      </c>
      <c r="D261" t="s">
        <v>19</v>
      </c>
      <c r="E261" t="s">
        <v>35</v>
      </c>
      <c r="F261" t="s">
        <v>38</v>
      </c>
      <c r="G261">
        <v>30</v>
      </c>
      <c r="H261">
        <v>446</v>
      </c>
      <c r="I261">
        <v>0</v>
      </c>
      <c r="J261">
        <v>13380</v>
      </c>
      <c r="K261">
        <v>2799.94</v>
      </c>
    </row>
    <row r="262" spans="1:11" x14ac:dyDescent="0.2">
      <c r="A262">
        <v>2260</v>
      </c>
      <c r="B262" s="4">
        <v>45187</v>
      </c>
      <c r="C262" t="s">
        <v>13</v>
      </c>
      <c r="D262" t="s">
        <v>22</v>
      </c>
      <c r="E262" t="s">
        <v>33</v>
      </c>
      <c r="F262" t="s">
        <v>36</v>
      </c>
      <c r="G262">
        <v>37</v>
      </c>
      <c r="H262">
        <v>28621</v>
      </c>
      <c r="I262">
        <v>0</v>
      </c>
      <c r="J262">
        <v>1058977</v>
      </c>
      <c r="K262">
        <v>109739.74</v>
      </c>
    </row>
    <row r="263" spans="1:11" x14ac:dyDescent="0.2">
      <c r="A263">
        <v>2261</v>
      </c>
      <c r="B263" s="4">
        <v>45188</v>
      </c>
      <c r="C263" t="s">
        <v>16</v>
      </c>
      <c r="D263" t="s">
        <v>21</v>
      </c>
      <c r="E263" t="s">
        <v>26</v>
      </c>
      <c r="F263" t="s">
        <v>37</v>
      </c>
      <c r="G263">
        <v>25</v>
      </c>
      <c r="H263">
        <v>131320</v>
      </c>
      <c r="I263">
        <v>0.1</v>
      </c>
      <c r="J263">
        <v>2954700</v>
      </c>
      <c r="K263">
        <v>711510.49</v>
      </c>
    </row>
    <row r="264" spans="1:11" x14ac:dyDescent="0.2">
      <c r="A264">
        <v>2262</v>
      </c>
      <c r="B264" s="4">
        <v>45189</v>
      </c>
      <c r="C264" t="s">
        <v>18</v>
      </c>
      <c r="D264" t="s">
        <v>20</v>
      </c>
      <c r="E264" t="s">
        <v>24</v>
      </c>
      <c r="F264" t="s">
        <v>37</v>
      </c>
      <c r="G264">
        <v>36</v>
      </c>
      <c r="H264">
        <v>3002</v>
      </c>
      <c r="I264">
        <v>0</v>
      </c>
      <c r="J264">
        <v>108072</v>
      </c>
      <c r="K264">
        <v>11911.88</v>
      </c>
    </row>
    <row r="265" spans="1:11" x14ac:dyDescent="0.2">
      <c r="A265">
        <v>2263</v>
      </c>
      <c r="B265" s="4">
        <v>45190</v>
      </c>
      <c r="C265" t="s">
        <v>16</v>
      </c>
      <c r="D265" t="s">
        <v>20</v>
      </c>
      <c r="E265" t="s">
        <v>27</v>
      </c>
      <c r="F265" t="s">
        <v>38</v>
      </c>
      <c r="G265">
        <v>32</v>
      </c>
      <c r="H265">
        <v>7750</v>
      </c>
      <c r="I265">
        <v>0</v>
      </c>
      <c r="J265">
        <v>248000</v>
      </c>
      <c r="K265">
        <v>22360.25</v>
      </c>
    </row>
    <row r="266" spans="1:11" x14ac:dyDescent="0.2">
      <c r="A266">
        <v>2264</v>
      </c>
      <c r="B266" s="4">
        <v>45191</v>
      </c>
      <c r="C266" t="s">
        <v>13</v>
      </c>
      <c r="D266" t="s">
        <v>21</v>
      </c>
      <c r="E266" t="s">
        <v>26</v>
      </c>
      <c r="F266" t="s">
        <v>36</v>
      </c>
      <c r="G266">
        <v>1</v>
      </c>
      <c r="H266">
        <v>104178</v>
      </c>
      <c r="I266">
        <v>0.1</v>
      </c>
      <c r="J266">
        <v>93760.2</v>
      </c>
      <c r="K266">
        <v>11819.44</v>
      </c>
    </row>
    <row r="267" spans="1:11" x14ac:dyDescent="0.2">
      <c r="A267">
        <v>2265</v>
      </c>
      <c r="B267" s="4">
        <v>45192</v>
      </c>
      <c r="C267" t="s">
        <v>12</v>
      </c>
      <c r="D267" t="s">
        <v>20</v>
      </c>
      <c r="E267" t="s">
        <v>24</v>
      </c>
      <c r="F267" t="s">
        <v>36</v>
      </c>
      <c r="G267">
        <v>18</v>
      </c>
      <c r="H267">
        <v>5962</v>
      </c>
      <c r="I267">
        <v>0.1</v>
      </c>
      <c r="J267">
        <v>96584.4</v>
      </c>
      <c r="K267">
        <v>22364.16</v>
      </c>
    </row>
    <row r="268" spans="1:11" x14ac:dyDescent="0.2">
      <c r="A268">
        <v>2266</v>
      </c>
      <c r="B268" s="4">
        <v>45193</v>
      </c>
      <c r="C268" t="s">
        <v>16</v>
      </c>
      <c r="D268" t="s">
        <v>20</v>
      </c>
      <c r="E268" t="s">
        <v>27</v>
      </c>
      <c r="F268" t="s">
        <v>37</v>
      </c>
      <c r="G268">
        <v>11</v>
      </c>
      <c r="H268">
        <v>7365</v>
      </c>
      <c r="I268">
        <v>0</v>
      </c>
      <c r="J268">
        <v>81015</v>
      </c>
      <c r="K268">
        <v>9790.99</v>
      </c>
    </row>
    <row r="269" spans="1:11" x14ac:dyDescent="0.2">
      <c r="A269">
        <v>2267</v>
      </c>
      <c r="B269" s="4">
        <v>45194</v>
      </c>
      <c r="C269" t="s">
        <v>18</v>
      </c>
      <c r="D269" t="s">
        <v>22</v>
      </c>
      <c r="E269" t="s">
        <v>34</v>
      </c>
      <c r="F269" t="s">
        <v>36</v>
      </c>
      <c r="G269">
        <v>6</v>
      </c>
      <c r="H269">
        <v>21713</v>
      </c>
      <c r="I269">
        <v>0</v>
      </c>
      <c r="J269">
        <v>130278</v>
      </c>
      <c r="K269">
        <v>24402.68</v>
      </c>
    </row>
    <row r="270" spans="1:11" x14ac:dyDescent="0.2">
      <c r="A270">
        <v>2268</v>
      </c>
      <c r="B270" s="4">
        <v>45195</v>
      </c>
      <c r="C270" t="s">
        <v>11</v>
      </c>
      <c r="D270" t="s">
        <v>21</v>
      </c>
      <c r="E270" t="s">
        <v>31</v>
      </c>
      <c r="F270" t="s">
        <v>37</v>
      </c>
      <c r="G270">
        <v>5</v>
      </c>
      <c r="H270">
        <v>149307</v>
      </c>
      <c r="I270">
        <v>0</v>
      </c>
      <c r="J270">
        <v>746535</v>
      </c>
      <c r="K270">
        <v>105380.52</v>
      </c>
    </row>
    <row r="271" spans="1:11" x14ac:dyDescent="0.2">
      <c r="A271">
        <v>2269</v>
      </c>
      <c r="B271" s="4">
        <v>45196</v>
      </c>
      <c r="C271" t="s">
        <v>17</v>
      </c>
      <c r="D271" t="s">
        <v>22</v>
      </c>
      <c r="E271" t="s">
        <v>30</v>
      </c>
      <c r="F271" t="s">
        <v>38</v>
      </c>
      <c r="G271">
        <v>3</v>
      </c>
      <c r="H271">
        <v>229991</v>
      </c>
      <c r="I271">
        <v>0</v>
      </c>
      <c r="J271">
        <v>689973</v>
      </c>
      <c r="K271">
        <v>104799.8</v>
      </c>
    </row>
    <row r="272" spans="1:11" x14ac:dyDescent="0.2">
      <c r="A272">
        <v>2270</v>
      </c>
      <c r="B272" s="4">
        <v>45197</v>
      </c>
      <c r="C272" t="s">
        <v>18</v>
      </c>
      <c r="D272" t="s">
        <v>21</v>
      </c>
      <c r="E272" t="s">
        <v>29</v>
      </c>
      <c r="F272" t="s">
        <v>38</v>
      </c>
      <c r="G272">
        <v>9</v>
      </c>
      <c r="H272">
        <v>101067</v>
      </c>
      <c r="I272">
        <v>0</v>
      </c>
      <c r="J272">
        <v>909603</v>
      </c>
      <c r="K272">
        <v>157721.76</v>
      </c>
    </row>
    <row r="273" spans="1:11" x14ac:dyDescent="0.2">
      <c r="A273">
        <v>2271</v>
      </c>
      <c r="B273" s="4">
        <v>45198</v>
      </c>
      <c r="C273" t="s">
        <v>12</v>
      </c>
      <c r="D273" t="s">
        <v>21</v>
      </c>
      <c r="E273" t="s">
        <v>31</v>
      </c>
      <c r="F273" t="s">
        <v>36</v>
      </c>
      <c r="G273">
        <v>9</v>
      </c>
      <c r="H273">
        <v>125267</v>
      </c>
      <c r="I273">
        <v>0</v>
      </c>
      <c r="J273">
        <v>1127403</v>
      </c>
      <c r="K273">
        <v>256492.15</v>
      </c>
    </row>
    <row r="274" spans="1:11" x14ac:dyDescent="0.2">
      <c r="A274">
        <v>2272</v>
      </c>
      <c r="B274" s="4">
        <v>45199</v>
      </c>
      <c r="C274" t="s">
        <v>12</v>
      </c>
      <c r="D274" t="s">
        <v>20</v>
      </c>
      <c r="E274" t="s">
        <v>24</v>
      </c>
      <c r="F274" t="s">
        <v>37</v>
      </c>
      <c r="G274">
        <v>11</v>
      </c>
      <c r="H274">
        <v>5620</v>
      </c>
      <c r="I274">
        <v>0.05</v>
      </c>
      <c r="J274">
        <v>58729</v>
      </c>
      <c r="K274">
        <v>5519.03</v>
      </c>
    </row>
    <row r="275" spans="1:11" x14ac:dyDescent="0.2">
      <c r="A275">
        <v>2273</v>
      </c>
      <c r="B275" s="4">
        <v>45200</v>
      </c>
      <c r="C275" t="s">
        <v>15</v>
      </c>
      <c r="D275" t="s">
        <v>22</v>
      </c>
      <c r="E275" t="s">
        <v>34</v>
      </c>
      <c r="F275" t="s">
        <v>37</v>
      </c>
      <c r="G275">
        <v>30</v>
      </c>
      <c r="H275">
        <v>210488</v>
      </c>
      <c r="I275">
        <v>0.05</v>
      </c>
      <c r="J275">
        <v>5998908</v>
      </c>
      <c r="K275">
        <v>687026.18</v>
      </c>
    </row>
    <row r="276" spans="1:11" x14ac:dyDescent="0.2">
      <c r="A276">
        <v>2274</v>
      </c>
      <c r="B276" s="4">
        <v>45201</v>
      </c>
      <c r="C276" t="s">
        <v>16</v>
      </c>
      <c r="D276" t="s">
        <v>19</v>
      </c>
      <c r="E276" t="s">
        <v>28</v>
      </c>
      <c r="F276" t="s">
        <v>36</v>
      </c>
      <c r="G276">
        <v>29</v>
      </c>
      <c r="H276">
        <v>317</v>
      </c>
      <c r="I276">
        <v>0.1</v>
      </c>
      <c r="J276">
        <v>8273.7000000000007</v>
      </c>
      <c r="K276">
        <v>1089.32</v>
      </c>
    </row>
    <row r="277" spans="1:11" x14ac:dyDescent="0.2">
      <c r="A277">
        <v>2275</v>
      </c>
      <c r="B277" s="4">
        <v>45202</v>
      </c>
      <c r="C277" t="s">
        <v>14</v>
      </c>
      <c r="D277" t="s">
        <v>20</v>
      </c>
      <c r="E277" t="s">
        <v>27</v>
      </c>
      <c r="F277" t="s">
        <v>38</v>
      </c>
      <c r="G277">
        <v>23</v>
      </c>
      <c r="H277">
        <v>4759</v>
      </c>
      <c r="I277">
        <v>0.1</v>
      </c>
      <c r="J277">
        <v>98511.3</v>
      </c>
      <c r="K277">
        <v>10094.629999999999</v>
      </c>
    </row>
    <row r="278" spans="1:11" x14ac:dyDescent="0.2">
      <c r="A278">
        <v>2276</v>
      </c>
      <c r="B278" s="4">
        <v>45203</v>
      </c>
      <c r="C278" t="s">
        <v>14</v>
      </c>
      <c r="D278" t="s">
        <v>22</v>
      </c>
      <c r="E278" t="s">
        <v>34</v>
      </c>
      <c r="F278" t="s">
        <v>36</v>
      </c>
      <c r="G278">
        <v>20</v>
      </c>
      <c r="H278">
        <v>159003</v>
      </c>
      <c r="I278">
        <v>0</v>
      </c>
      <c r="J278">
        <v>3180060</v>
      </c>
      <c r="K278">
        <v>457849.33</v>
      </c>
    </row>
    <row r="279" spans="1:11" x14ac:dyDescent="0.2">
      <c r="A279">
        <v>2277</v>
      </c>
      <c r="B279" s="4">
        <v>45204</v>
      </c>
      <c r="C279" t="s">
        <v>15</v>
      </c>
      <c r="D279" t="s">
        <v>20</v>
      </c>
      <c r="E279" t="s">
        <v>24</v>
      </c>
      <c r="F279" t="s">
        <v>36</v>
      </c>
      <c r="G279">
        <v>12</v>
      </c>
      <c r="H279">
        <v>3970</v>
      </c>
      <c r="I279">
        <v>0</v>
      </c>
      <c r="J279">
        <v>47640</v>
      </c>
      <c r="K279">
        <v>8694.64</v>
      </c>
    </row>
    <row r="280" spans="1:11" x14ac:dyDescent="0.2">
      <c r="A280">
        <v>2278</v>
      </c>
      <c r="B280" s="4">
        <v>45205</v>
      </c>
      <c r="C280" t="s">
        <v>11</v>
      </c>
      <c r="D280" t="s">
        <v>21</v>
      </c>
      <c r="E280" t="s">
        <v>26</v>
      </c>
      <c r="F280" t="s">
        <v>38</v>
      </c>
      <c r="G280">
        <v>30</v>
      </c>
      <c r="H280">
        <v>55433</v>
      </c>
      <c r="I280">
        <v>0.1</v>
      </c>
      <c r="J280">
        <v>1496691</v>
      </c>
      <c r="K280">
        <v>190157.01</v>
      </c>
    </row>
    <row r="281" spans="1:11" x14ac:dyDescent="0.2">
      <c r="A281">
        <v>2279</v>
      </c>
      <c r="B281" s="4">
        <v>45206</v>
      </c>
      <c r="C281" t="s">
        <v>14</v>
      </c>
      <c r="D281" t="s">
        <v>21</v>
      </c>
      <c r="E281" t="s">
        <v>26</v>
      </c>
      <c r="F281" t="s">
        <v>36</v>
      </c>
      <c r="G281">
        <v>9</v>
      </c>
      <c r="H281">
        <v>31292</v>
      </c>
      <c r="I281">
        <v>0.1</v>
      </c>
      <c r="J281">
        <v>253465.2</v>
      </c>
      <c r="K281">
        <v>55302.23</v>
      </c>
    </row>
    <row r="282" spans="1:11" x14ac:dyDescent="0.2">
      <c r="A282">
        <v>2280</v>
      </c>
      <c r="B282" s="4">
        <v>45207</v>
      </c>
      <c r="C282" t="s">
        <v>13</v>
      </c>
      <c r="D282" t="s">
        <v>21</v>
      </c>
      <c r="E282" t="s">
        <v>29</v>
      </c>
      <c r="F282" t="s">
        <v>36</v>
      </c>
      <c r="G282">
        <v>24</v>
      </c>
      <c r="H282">
        <v>58147</v>
      </c>
      <c r="I282">
        <v>0.1</v>
      </c>
      <c r="J282">
        <v>1255975.2</v>
      </c>
      <c r="K282">
        <v>146930.10999999999</v>
      </c>
    </row>
    <row r="283" spans="1:11" x14ac:dyDescent="0.2">
      <c r="A283">
        <v>2281</v>
      </c>
      <c r="B283" s="4">
        <v>45208</v>
      </c>
      <c r="C283" t="s">
        <v>12</v>
      </c>
      <c r="D283" t="s">
        <v>22</v>
      </c>
      <c r="E283" t="s">
        <v>33</v>
      </c>
      <c r="F283" t="s">
        <v>38</v>
      </c>
      <c r="G283">
        <v>33</v>
      </c>
      <c r="H283">
        <v>215174</v>
      </c>
      <c r="I283">
        <v>0</v>
      </c>
      <c r="J283">
        <v>7100742</v>
      </c>
      <c r="K283">
        <v>1615046.5</v>
      </c>
    </row>
    <row r="284" spans="1:11" x14ac:dyDescent="0.2">
      <c r="A284">
        <v>2282</v>
      </c>
      <c r="B284" s="4">
        <v>45209</v>
      </c>
      <c r="C284" t="s">
        <v>17</v>
      </c>
      <c r="D284" t="s">
        <v>20</v>
      </c>
      <c r="E284" t="s">
        <v>27</v>
      </c>
      <c r="F284" t="s">
        <v>36</v>
      </c>
      <c r="G284">
        <v>36</v>
      </c>
      <c r="H284">
        <v>6654</v>
      </c>
      <c r="I284">
        <v>0.05</v>
      </c>
      <c r="J284">
        <v>227566.8</v>
      </c>
      <c r="K284">
        <v>28165.06</v>
      </c>
    </row>
    <row r="285" spans="1:11" x14ac:dyDescent="0.2">
      <c r="A285">
        <v>2283</v>
      </c>
      <c r="B285" s="4">
        <v>45210</v>
      </c>
      <c r="C285" t="s">
        <v>18</v>
      </c>
      <c r="D285" t="s">
        <v>22</v>
      </c>
      <c r="E285" t="s">
        <v>34</v>
      </c>
      <c r="F285" t="s">
        <v>36</v>
      </c>
      <c r="G285">
        <v>3</v>
      </c>
      <c r="H285">
        <v>211255</v>
      </c>
      <c r="I285">
        <v>0</v>
      </c>
      <c r="J285">
        <v>633765</v>
      </c>
      <c r="K285">
        <v>103232.42</v>
      </c>
    </row>
    <row r="286" spans="1:11" x14ac:dyDescent="0.2">
      <c r="A286">
        <v>2284</v>
      </c>
      <c r="B286" s="4">
        <v>45211</v>
      </c>
      <c r="C286" t="s">
        <v>13</v>
      </c>
      <c r="D286" t="s">
        <v>20</v>
      </c>
      <c r="E286" t="s">
        <v>27</v>
      </c>
      <c r="F286" t="s">
        <v>36</v>
      </c>
      <c r="G286">
        <v>37</v>
      </c>
      <c r="H286">
        <v>4650</v>
      </c>
      <c r="I286">
        <v>0.05</v>
      </c>
      <c r="J286">
        <v>163447.5</v>
      </c>
      <c r="K286">
        <v>37483.29</v>
      </c>
    </row>
    <row r="287" spans="1:11" x14ac:dyDescent="0.2">
      <c r="A287">
        <v>2285</v>
      </c>
      <c r="B287" s="4">
        <v>45212</v>
      </c>
      <c r="C287" t="s">
        <v>11</v>
      </c>
      <c r="D287" t="s">
        <v>19</v>
      </c>
      <c r="E287" t="s">
        <v>23</v>
      </c>
      <c r="F287" t="s">
        <v>38</v>
      </c>
      <c r="G287">
        <v>12</v>
      </c>
      <c r="H287">
        <v>236</v>
      </c>
      <c r="I287">
        <v>0.05</v>
      </c>
      <c r="J287">
        <v>2690.4</v>
      </c>
      <c r="K287">
        <v>622.92999999999995</v>
      </c>
    </row>
    <row r="288" spans="1:11" x14ac:dyDescent="0.2">
      <c r="A288">
        <v>2286</v>
      </c>
      <c r="B288" s="4">
        <v>45213</v>
      </c>
      <c r="C288" t="s">
        <v>14</v>
      </c>
      <c r="D288" t="s">
        <v>20</v>
      </c>
      <c r="E288" t="s">
        <v>27</v>
      </c>
      <c r="F288" t="s">
        <v>38</v>
      </c>
      <c r="G288">
        <v>35</v>
      </c>
      <c r="H288">
        <v>6943</v>
      </c>
      <c r="I288">
        <v>0.1</v>
      </c>
      <c r="J288">
        <v>218704.5</v>
      </c>
      <c r="K288">
        <v>48293.79</v>
      </c>
    </row>
    <row r="289" spans="1:11" x14ac:dyDescent="0.2">
      <c r="A289">
        <v>2287</v>
      </c>
      <c r="B289" s="4">
        <v>45214</v>
      </c>
      <c r="C289" t="s">
        <v>17</v>
      </c>
      <c r="D289" t="s">
        <v>21</v>
      </c>
      <c r="E289" t="s">
        <v>26</v>
      </c>
      <c r="F289" t="s">
        <v>38</v>
      </c>
      <c r="G289">
        <v>31</v>
      </c>
      <c r="H289">
        <v>56007</v>
      </c>
      <c r="I289">
        <v>0</v>
      </c>
      <c r="J289">
        <v>1736217</v>
      </c>
      <c r="K289">
        <v>220570.3</v>
      </c>
    </row>
    <row r="290" spans="1:11" x14ac:dyDescent="0.2">
      <c r="A290">
        <v>2288</v>
      </c>
      <c r="B290" s="4">
        <v>45215</v>
      </c>
      <c r="C290" t="s">
        <v>16</v>
      </c>
      <c r="D290" t="s">
        <v>22</v>
      </c>
      <c r="E290" t="s">
        <v>30</v>
      </c>
      <c r="F290" t="s">
        <v>37</v>
      </c>
      <c r="G290">
        <v>17</v>
      </c>
      <c r="H290">
        <v>43702</v>
      </c>
      <c r="I290">
        <v>0</v>
      </c>
      <c r="J290">
        <v>742934</v>
      </c>
      <c r="K290">
        <v>147178.79</v>
      </c>
    </row>
    <row r="291" spans="1:11" x14ac:dyDescent="0.2">
      <c r="A291">
        <v>2289</v>
      </c>
      <c r="B291" s="4">
        <v>45216</v>
      </c>
      <c r="C291" t="s">
        <v>12</v>
      </c>
      <c r="D291" t="s">
        <v>21</v>
      </c>
      <c r="E291" t="s">
        <v>31</v>
      </c>
      <c r="F291" t="s">
        <v>38</v>
      </c>
      <c r="G291">
        <v>23</v>
      </c>
      <c r="H291">
        <v>56225</v>
      </c>
      <c r="I291">
        <v>0.05</v>
      </c>
      <c r="J291">
        <v>1228516.25</v>
      </c>
      <c r="K291">
        <v>278844.45</v>
      </c>
    </row>
    <row r="292" spans="1:11" x14ac:dyDescent="0.2">
      <c r="A292">
        <v>2290</v>
      </c>
      <c r="B292" s="4">
        <v>45217</v>
      </c>
      <c r="C292" t="s">
        <v>15</v>
      </c>
      <c r="D292" t="s">
        <v>22</v>
      </c>
      <c r="E292" t="s">
        <v>33</v>
      </c>
      <c r="F292" t="s">
        <v>37</v>
      </c>
      <c r="G292">
        <v>14</v>
      </c>
      <c r="H292">
        <v>94236</v>
      </c>
      <c r="I292">
        <v>0.05</v>
      </c>
      <c r="J292">
        <v>1253338.8</v>
      </c>
      <c r="K292">
        <v>308820.76</v>
      </c>
    </row>
    <row r="293" spans="1:11" x14ac:dyDescent="0.2">
      <c r="A293">
        <v>2291</v>
      </c>
      <c r="B293" s="4">
        <v>45218</v>
      </c>
      <c r="C293" t="s">
        <v>17</v>
      </c>
      <c r="D293" t="s">
        <v>22</v>
      </c>
      <c r="E293" t="s">
        <v>33</v>
      </c>
      <c r="F293" t="s">
        <v>36</v>
      </c>
      <c r="G293">
        <v>21</v>
      </c>
      <c r="H293">
        <v>136261</v>
      </c>
      <c r="I293">
        <v>0.1</v>
      </c>
      <c r="J293">
        <v>2575332.9</v>
      </c>
      <c r="K293">
        <v>546080.09</v>
      </c>
    </row>
    <row r="294" spans="1:11" x14ac:dyDescent="0.2">
      <c r="A294">
        <v>2292</v>
      </c>
      <c r="B294" s="4">
        <v>45219</v>
      </c>
      <c r="C294" t="s">
        <v>12</v>
      </c>
      <c r="D294" t="s">
        <v>20</v>
      </c>
      <c r="E294" t="s">
        <v>27</v>
      </c>
      <c r="F294" t="s">
        <v>38</v>
      </c>
      <c r="G294">
        <v>20</v>
      </c>
      <c r="H294">
        <v>7510</v>
      </c>
      <c r="I294">
        <v>0.05</v>
      </c>
      <c r="J294">
        <v>142690</v>
      </c>
      <c r="K294">
        <v>29476.41</v>
      </c>
    </row>
    <row r="295" spans="1:11" x14ac:dyDescent="0.2">
      <c r="A295">
        <v>2293</v>
      </c>
      <c r="B295" s="4">
        <v>45220</v>
      </c>
      <c r="C295" t="s">
        <v>17</v>
      </c>
      <c r="D295" t="s">
        <v>21</v>
      </c>
      <c r="E295" t="s">
        <v>29</v>
      </c>
      <c r="F295" t="s">
        <v>37</v>
      </c>
      <c r="G295">
        <v>7</v>
      </c>
      <c r="H295">
        <v>52894</v>
      </c>
      <c r="I295">
        <v>0.05</v>
      </c>
      <c r="J295">
        <v>351745.1</v>
      </c>
      <c r="K295">
        <v>54248.85</v>
      </c>
    </row>
    <row r="296" spans="1:11" x14ac:dyDescent="0.2">
      <c r="A296">
        <v>2294</v>
      </c>
      <c r="B296" s="4">
        <v>45221</v>
      </c>
      <c r="C296" t="s">
        <v>16</v>
      </c>
      <c r="D296" t="s">
        <v>20</v>
      </c>
      <c r="E296" t="s">
        <v>24</v>
      </c>
      <c r="F296" t="s">
        <v>36</v>
      </c>
      <c r="G296">
        <v>21</v>
      </c>
      <c r="H296">
        <v>7846</v>
      </c>
      <c r="I296">
        <v>0.05</v>
      </c>
      <c r="J296">
        <v>156527.70000000001</v>
      </c>
      <c r="K296">
        <v>32469.77</v>
      </c>
    </row>
    <row r="297" spans="1:11" x14ac:dyDescent="0.2">
      <c r="A297">
        <v>2295</v>
      </c>
      <c r="B297" s="4">
        <v>45222</v>
      </c>
      <c r="C297" t="s">
        <v>16</v>
      </c>
      <c r="D297" t="s">
        <v>22</v>
      </c>
      <c r="E297" t="s">
        <v>34</v>
      </c>
      <c r="F297" t="s">
        <v>38</v>
      </c>
      <c r="G297">
        <v>7</v>
      </c>
      <c r="H297">
        <v>109749</v>
      </c>
      <c r="I297">
        <v>0</v>
      </c>
      <c r="J297">
        <v>768243</v>
      </c>
      <c r="K297">
        <v>103381.98</v>
      </c>
    </row>
    <row r="298" spans="1:11" x14ac:dyDescent="0.2">
      <c r="A298">
        <v>2296</v>
      </c>
      <c r="B298" s="4">
        <v>45223</v>
      </c>
      <c r="C298" t="s">
        <v>16</v>
      </c>
      <c r="D298" t="s">
        <v>22</v>
      </c>
      <c r="E298" t="s">
        <v>34</v>
      </c>
      <c r="F298" t="s">
        <v>37</v>
      </c>
      <c r="G298">
        <v>4</v>
      </c>
      <c r="H298">
        <v>175379</v>
      </c>
      <c r="I298">
        <v>0.05</v>
      </c>
      <c r="J298">
        <v>666440.19999999995</v>
      </c>
      <c r="K298">
        <v>127407.08</v>
      </c>
    </row>
    <row r="299" spans="1:11" x14ac:dyDescent="0.2">
      <c r="A299">
        <v>2297</v>
      </c>
      <c r="B299" s="4">
        <v>45224</v>
      </c>
      <c r="C299" t="s">
        <v>14</v>
      </c>
      <c r="D299" t="s">
        <v>20</v>
      </c>
      <c r="E299" t="s">
        <v>24</v>
      </c>
      <c r="F299" t="s">
        <v>38</v>
      </c>
      <c r="G299">
        <v>4</v>
      </c>
      <c r="H299">
        <v>3866</v>
      </c>
      <c r="I299">
        <v>0.1</v>
      </c>
      <c r="J299">
        <v>13917.6</v>
      </c>
      <c r="K299">
        <v>1695.19</v>
      </c>
    </row>
    <row r="300" spans="1:11" x14ac:dyDescent="0.2">
      <c r="A300">
        <v>2298</v>
      </c>
      <c r="B300" s="4">
        <v>45225</v>
      </c>
      <c r="C300" t="s">
        <v>17</v>
      </c>
      <c r="D300" t="s">
        <v>21</v>
      </c>
      <c r="E300" t="s">
        <v>29</v>
      </c>
      <c r="F300" t="s">
        <v>36</v>
      </c>
      <c r="G300">
        <v>28</v>
      </c>
      <c r="H300">
        <v>77974</v>
      </c>
      <c r="I300">
        <v>0</v>
      </c>
      <c r="J300">
        <v>2183272</v>
      </c>
      <c r="K300">
        <v>454070.87</v>
      </c>
    </row>
    <row r="301" spans="1:11" x14ac:dyDescent="0.2">
      <c r="A301">
        <v>2299</v>
      </c>
      <c r="B301" s="4">
        <v>45226</v>
      </c>
      <c r="C301" t="s">
        <v>15</v>
      </c>
      <c r="D301" t="s">
        <v>19</v>
      </c>
      <c r="E301" t="s">
        <v>25</v>
      </c>
      <c r="F301" t="s">
        <v>38</v>
      </c>
      <c r="G301">
        <v>1</v>
      </c>
      <c r="H301">
        <v>215</v>
      </c>
      <c r="I301">
        <v>0</v>
      </c>
      <c r="J301">
        <v>215</v>
      </c>
      <c r="K301">
        <v>18.62</v>
      </c>
    </row>
    <row r="302" spans="1:11" x14ac:dyDescent="0.2">
      <c r="A302">
        <v>2300</v>
      </c>
      <c r="B302" s="4">
        <v>45227</v>
      </c>
      <c r="C302" t="s">
        <v>15</v>
      </c>
      <c r="D302" t="s">
        <v>20</v>
      </c>
      <c r="E302" t="s">
        <v>27</v>
      </c>
      <c r="F302" t="s">
        <v>38</v>
      </c>
      <c r="G302">
        <v>13</v>
      </c>
      <c r="H302">
        <v>6894</v>
      </c>
      <c r="I302">
        <v>0.05</v>
      </c>
      <c r="J302">
        <v>85140.9</v>
      </c>
      <c r="K302">
        <v>18201.900000000001</v>
      </c>
    </row>
    <row r="303" spans="1:11" x14ac:dyDescent="0.2">
      <c r="A303">
        <v>2301</v>
      </c>
      <c r="B303" s="4">
        <v>45228</v>
      </c>
      <c r="C303" t="s">
        <v>18</v>
      </c>
      <c r="D303" t="s">
        <v>20</v>
      </c>
      <c r="E303" t="s">
        <v>27</v>
      </c>
      <c r="F303" t="s">
        <v>38</v>
      </c>
      <c r="G303">
        <v>15</v>
      </c>
      <c r="H303">
        <v>5385</v>
      </c>
      <c r="I303">
        <v>0.1</v>
      </c>
      <c r="J303">
        <v>72697.5</v>
      </c>
      <c r="K303">
        <v>16227.14</v>
      </c>
    </row>
    <row r="304" spans="1:11" x14ac:dyDescent="0.2">
      <c r="A304">
        <v>2302</v>
      </c>
      <c r="B304" s="4">
        <v>45229</v>
      </c>
      <c r="C304" t="s">
        <v>17</v>
      </c>
      <c r="D304" t="s">
        <v>20</v>
      </c>
      <c r="E304" t="s">
        <v>27</v>
      </c>
      <c r="F304" t="s">
        <v>37</v>
      </c>
      <c r="G304">
        <v>21</v>
      </c>
      <c r="H304">
        <v>7445</v>
      </c>
      <c r="I304">
        <v>0.1</v>
      </c>
      <c r="J304">
        <v>140710.5</v>
      </c>
      <c r="K304">
        <v>12590.82</v>
      </c>
    </row>
    <row r="305" spans="1:11" x14ac:dyDescent="0.2">
      <c r="A305">
        <v>2303</v>
      </c>
      <c r="B305" s="4">
        <v>45230</v>
      </c>
      <c r="C305" t="s">
        <v>14</v>
      </c>
      <c r="D305" t="s">
        <v>21</v>
      </c>
      <c r="E305" t="s">
        <v>31</v>
      </c>
      <c r="F305" t="s">
        <v>37</v>
      </c>
      <c r="G305">
        <v>40</v>
      </c>
      <c r="H305">
        <v>103577</v>
      </c>
      <c r="I305">
        <v>0.1</v>
      </c>
      <c r="J305">
        <v>3728772</v>
      </c>
      <c r="K305">
        <v>618883.27</v>
      </c>
    </row>
    <row r="306" spans="1:11" x14ac:dyDescent="0.2">
      <c r="A306">
        <v>2304</v>
      </c>
      <c r="B306" s="4">
        <v>45231</v>
      </c>
      <c r="C306" t="s">
        <v>16</v>
      </c>
      <c r="D306" t="s">
        <v>22</v>
      </c>
      <c r="E306" t="s">
        <v>30</v>
      </c>
      <c r="F306" t="s">
        <v>36</v>
      </c>
      <c r="G306">
        <v>36</v>
      </c>
      <c r="H306">
        <v>75926</v>
      </c>
      <c r="I306">
        <v>0.1</v>
      </c>
      <c r="J306">
        <v>2460002.4</v>
      </c>
      <c r="K306">
        <v>210102.65</v>
      </c>
    </row>
    <row r="307" spans="1:11" x14ac:dyDescent="0.2">
      <c r="A307">
        <v>2305</v>
      </c>
      <c r="B307" s="4">
        <v>45232</v>
      </c>
      <c r="C307" t="s">
        <v>11</v>
      </c>
      <c r="D307" t="s">
        <v>19</v>
      </c>
      <c r="E307" t="s">
        <v>32</v>
      </c>
      <c r="F307" t="s">
        <v>37</v>
      </c>
      <c r="G307">
        <v>6</v>
      </c>
      <c r="H307">
        <v>466</v>
      </c>
      <c r="I307">
        <v>0.05</v>
      </c>
      <c r="J307">
        <v>2656.2</v>
      </c>
      <c r="K307">
        <v>662.27</v>
      </c>
    </row>
    <row r="308" spans="1:11" x14ac:dyDescent="0.2">
      <c r="A308">
        <v>2306</v>
      </c>
      <c r="B308" s="4">
        <v>45233</v>
      </c>
      <c r="C308" t="s">
        <v>16</v>
      </c>
      <c r="D308" t="s">
        <v>21</v>
      </c>
      <c r="E308" t="s">
        <v>26</v>
      </c>
      <c r="F308" t="s">
        <v>36</v>
      </c>
      <c r="G308">
        <v>9</v>
      </c>
      <c r="H308">
        <v>23323</v>
      </c>
      <c r="I308">
        <v>0</v>
      </c>
      <c r="J308">
        <v>209907</v>
      </c>
      <c r="K308">
        <v>31462.61</v>
      </c>
    </row>
    <row r="309" spans="1:11" x14ac:dyDescent="0.2">
      <c r="A309">
        <v>2307</v>
      </c>
      <c r="B309" s="4">
        <v>45234</v>
      </c>
      <c r="C309" t="s">
        <v>18</v>
      </c>
      <c r="D309" t="s">
        <v>20</v>
      </c>
      <c r="E309" t="s">
        <v>24</v>
      </c>
      <c r="F309" t="s">
        <v>38</v>
      </c>
      <c r="G309">
        <v>31</v>
      </c>
      <c r="H309">
        <v>5889</v>
      </c>
      <c r="I309">
        <v>0</v>
      </c>
      <c r="J309">
        <v>182559</v>
      </c>
      <c r="K309">
        <v>35800.01</v>
      </c>
    </row>
    <row r="310" spans="1:11" x14ac:dyDescent="0.2">
      <c r="A310">
        <v>2308</v>
      </c>
      <c r="B310" s="4">
        <v>45235</v>
      </c>
      <c r="C310" t="s">
        <v>18</v>
      </c>
      <c r="D310" t="s">
        <v>22</v>
      </c>
      <c r="E310" t="s">
        <v>34</v>
      </c>
      <c r="F310" t="s">
        <v>38</v>
      </c>
      <c r="G310">
        <v>40</v>
      </c>
      <c r="H310">
        <v>33157</v>
      </c>
      <c r="I310">
        <v>0.1</v>
      </c>
      <c r="J310">
        <v>1193652</v>
      </c>
      <c r="K310">
        <v>186369.28</v>
      </c>
    </row>
    <row r="311" spans="1:11" x14ac:dyDescent="0.2">
      <c r="A311">
        <v>2309</v>
      </c>
      <c r="B311" s="4">
        <v>45236</v>
      </c>
      <c r="C311" t="s">
        <v>17</v>
      </c>
      <c r="D311" t="s">
        <v>19</v>
      </c>
      <c r="E311" t="s">
        <v>25</v>
      </c>
      <c r="F311" t="s">
        <v>36</v>
      </c>
      <c r="G311">
        <v>27</v>
      </c>
      <c r="H311">
        <v>348</v>
      </c>
      <c r="I311">
        <v>0</v>
      </c>
      <c r="J311">
        <v>9396</v>
      </c>
      <c r="K311">
        <v>1132.3599999999999</v>
      </c>
    </row>
    <row r="312" spans="1:11" x14ac:dyDescent="0.2">
      <c r="A312">
        <v>2310</v>
      </c>
      <c r="B312" s="4">
        <v>45237</v>
      </c>
      <c r="C312" t="s">
        <v>14</v>
      </c>
      <c r="D312" t="s">
        <v>19</v>
      </c>
      <c r="E312" t="s">
        <v>23</v>
      </c>
      <c r="F312" t="s">
        <v>38</v>
      </c>
      <c r="G312">
        <v>23</v>
      </c>
      <c r="H312">
        <v>418</v>
      </c>
      <c r="I312">
        <v>0</v>
      </c>
      <c r="J312">
        <v>9614</v>
      </c>
      <c r="K312">
        <v>1117.05</v>
      </c>
    </row>
    <row r="313" spans="1:11" x14ac:dyDescent="0.2">
      <c r="A313">
        <v>2311</v>
      </c>
      <c r="B313" s="4">
        <v>45238</v>
      </c>
      <c r="C313" t="s">
        <v>13</v>
      </c>
      <c r="D313" t="s">
        <v>21</v>
      </c>
      <c r="E313" t="s">
        <v>26</v>
      </c>
      <c r="F313" t="s">
        <v>36</v>
      </c>
      <c r="G313">
        <v>27</v>
      </c>
      <c r="H313">
        <v>97430</v>
      </c>
      <c r="I313">
        <v>0.1</v>
      </c>
      <c r="J313">
        <v>2367549</v>
      </c>
      <c r="K313">
        <v>263657.98</v>
      </c>
    </row>
    <row r="314" spans="1:11" x14ac:dyDescent="0.2">
      <c r="A314">
        <v>2312</v>
      </c>
      <c r="B314" s="4">
        <v>45239</v>
      </c>
      <c r="C314" t="s">
        <v>14</v>
      </c>
      <c r="D314" t="s">
        <v>21</v>
      </c>
      <c r="E314" t="s">
        <v>29</v>
      </c>
      <c r="F314" t="s">
        <v>36</v>
      </c>
      <c r="G314">
        <v>14</v>
      </c>
      <c r="H314">
        <v>135460</v>
      </c>
      <c r="I314">
        <v>0</v>
      </c>
      <c r="J314">
        <v>1896440</v>
      </c>
      <c r="K314">
        <v>377018.9</v>
      </c>
    </row>
    <row r="315" spans="1:11" x14ac:dyDescent="0.2">
      <c r="A315">
        <v>2313</v>
      </c>
      <c r="B315" s="4">
        <v>45240</v>
      </c>
      <c r="C315" t="s">
        <v>11</v>
      </c>
      <c r="D315" t="s">
        <v>20</v>
      </c>
      <c r="E315" t="s">
        <v>24</v>
      </c>
      <c r="F315" t="s">
        <v>36</v>
      </c>
      <c r="G315">
        <v>2</v>
      </c>
      <c r="H315">
        <v>7346</v>
      </c>
      <c r="I315">
        <v>0</v>
      </c>
      <c r="J315">
        <v>14692</v>
      </c>
      <c r="K315">
        <v>1870.59</v>
      </c>
    </row>
    <row r="316" spans="1:11" x14ac:dyDescent="0.2">
      <c r="A316">
        <v>2314</v>
      </c>
      <c r="B316" s="4">
        <v>45241</v>
      </c>
      <c r="C316" t="s">
        <v>15</v>
      </c>
      <c r="D316" t="s">
        <v>20</v>
      </c>
      <c r="E316" t="s">
        <v>24</v>
      </c>
      <c r="F316" t="s">
        <v>38</v>
      </c>
      <c r="G316">
        <v>26</v>
      </c>
      <c r="H316">
        <v>5212</v>
      </c>
      <c r="I316">
        <v>0.1</v>
      </c>
      <c r="J316">
        <v>121960.8</v>
      </c>
      <c r="K316">
        <v>18391.18</v>
      </c>
    </row>
    <row r="317" spans="1:11" x14ac:dyDescent="0.2">
      <c r="A317">
        <v>2315</v>
      </c>
      <c r="B317" s="4">
        <v>45242</v>
      </c>
      <c r="C317" t="s">
        <v>16</v>
      </c>
      <c r="D317" t="s">
        <v>22</v>
      </c>
      <c r="E317" t="s">
        <v>34</v>
      </c>
      <c r="F317" t="s">
        <v>37</v>
      </c>
      <c r="G317">
        <v>36</v>
      </c>
      <c r="H317">
        <v>107023</v>
      </c>
      <c r="I317">
        <v>0</v>
      </c>
      <c r="J317">
        <v>3852828</v>
      </c>
      <c r="K317">
        <v>943164.44</v>
      </c>
    </row>
    <row r="318" spans="1:11" x14ac:dyDescent="0.2">
      <c r="A318">
        <v>2316</v>
      </c>
      <c r="B318" s="4">
        <v>45243</v>
      </c>
      <c r="C318" t="s">
        <v>16</v>
      </c>
      <c r="D318" t="s">
        <v>20</v>
      </c>
      <c r="E318" t="s">
        <v>27</v>
      </c>
      <c r="F318" t="s">
        <v>36</v>
      </c>
      <c r="G318">
        <v>35</v>
      </c>
      <c r="H318">
        <v>7758</v>
      </c>
      <c r="I318">
        <v>0.1</v>
      </c>
      <c r="J318">
        <v>244377</v>
      </c>
      <c r="K318">
        <v>34871.03</v>
      </c>
    </row>
    <row r="319" spans="1:11" x14ac:dyDescent="0.2">
      <c r="A319">
        <v>2317</v>
      </c>
      <c r="B319" s="4">
        <v>45244</v>
      </c>
      <c r="C319" t="s">
        <v>13</v>
      </c>
      <c r="D319" t="s">
        <v>21</v>
      </c>
      <c r="E319" t="s">
        <v>26</v>
      </c>
      <c r="F319" t="s">
        <v>37</v>
      </c>
      <c r="G319">
        <v>33</v>
      </c>
      <c r="H319">
        <v>96206</v>
      </c>
      <c r="I319">
        <v>0</v>
      </c>
      <c r="J319">
        <v>3174798</v>
      </c>
      <c r="K319">
        <v>339406.85</v>
      </c>
    </row>
    <row r="320" spans="1:11" x14ac:dyDescent="0.2">
      <c r="A320">
        <v>2318</v>
      </c>
      <c r="B320" s="4">
        <v>45245</v>
      </c>
      <c r="C320" t="s">
        <v>16</v>
      </c>
      <c r="D320" t="s">
        <v>21</v>
      </c>
      <c r="E320" t="s">
        <v>31</v>
      </c>
      <c r="F320" t="s">
        <v>36</v>
      </c>
      <c r="G320">
        <v>25</v>
      </c>
      <c r="H320">
        <v>35116</v>
      </c>
      <c r="I320">
        <v>0.05</v>
      </c>
      <c r="J320">
        <v>834005</v>
      </c>
      <c r="K320">
        <v>163601.59</v>
      </c>
    </row>
    <row r="321" spans="1:11" x14ac:dyDescent="0.2">
      <c r="A321">
        <v>2319</v>
      </c>
      <c r="B321" s="4">
        <v>45246</v>
      </c>
      <c r="C321" t="s">
        <v>17</v>
      </c>
      <c r="D321" t="s">
        <v>19</v>
      </c>
      <c r="E321" t="s">
        <v>32</v>
      </c>
      <c r="F321" t="s">
        <v>38</v>
      </c>
      <c r="G321">
        <v>8</v>
      </c>
      <c r="H321">
        <v>346</v>
      </c>
      <c r="I321">
        <v>0.1</v>
      </c>
      <c r="J321">
        <v>2491.1999999999998</v>
      </c>
      <c r="K321">
        <v>349.67</v>
      </c>
    </row>
    <row r="322" spans="1:11" x14ac:dyDescent="0.2">
      <c r="A322">
        <v>2320</v>
      </c>
      <c r="B322" s="4">
        <v>45247</v>
      </c>
      <c r="C322" t="s">
        <v>14</v>
      </c>
      <c r="D322" t="s">
        <v>19</v>
      </c>
      <c r="E322" t="s">
        <v>25</v>
      </c>
      <c r="F322" t="s">
        <v>38</v>
      </c>
      <c r="G322">
        <v>38</v>
      </c>
      <c r="H322">
        <v>319</v>
      </c>
      <c r="I322">
        <v>0</v>
      </c>
      <c r="J322">
        <v>12122</v>
      </c>
      <c r="K322">
        <v>2588.12</v>
      </c>
    </row>
    <row r="323" spans="1:11" x14ac:dyDescent="0.2">
      <c r="A323">
        <v>2321</v>
      </c>
      <c r="B323" s="4">
        <v>45248</v>
      </c>
      <c r="C323" t="s">
        <v>12</v>
      </c>
      <c r="D323" t="s">
        <v>20</v>
      </c>
      <c r="E323" t="s">
        <v>24</v>
      </c>
      <c r="F323" t="s">
        <v>38</v>
      </c>
      <c r="G323">
        <v>31</v>
      </c>
      <c r="H323">
        <v>3487</v>
      </c>
      <c r="I323">
        <v>0.1</v>
      </c>
      <c r="J323">
        <v>97287.3</v>
      </c>
      <c r="K323">
        <v>23099.360000000001</v>
      </c>
    </row>
    <row r="324" spans="1:11" x14ac:dyDescent="0.2">
      <c r="A324">
        <v>2322</v>
      </c>
      <c r="B324" s="4">
        <v>45249</v>
      </c>
      <c r="C324" t="s">
        <v>12</v>
      </c>
      <c r="D324" t="s">
        <v>20</v>
      </c>
      <c r="E324" t="s">
        <v>27</v>
      </c>
      <c r="F324" t="s">
        <v>38</v>
      </c>
      <c r="G324">
        <v>1</v>
      </c>
      <c r="H324">
        <v>4638</v>
      </c>
      <c r="I324">
        <v>0.05</v>
      </c>
      <c r="J324">
        <v>4406.1000000000004</v>
      </c>
      <c r="K324">
        <v>835.5</v>
      </c>
    </row>
    <row r="325" spans="1:11" x14ac:dyDescent="0.2">
      <c r="A325">
        <v>2323</v>
      </c>
      <c r="B325" s="4">
        <v>45250</v>
      </c>
      <c r="C325" t="s">
        <v>17</v>
      </c>
      <c r="D325" t="s">
        <v>19</v>
      </c>
      <c r="E325" t="s">
        <v>25</v>
      </c>
      <c r="F325" t="s">
        <v>36</v>
      </c>
      <c r="G325">
        <v>12</v>
      </c>
      <c r="H325">
        <v>260</v>
      </c>
      <c r="I325">
        <v>0.05</v>
      </c>
      <c r="J325">
        <v>2964</v>
      </c>
      <c r="K325">
        <v>246.52</v>
      </c>
    </row>
    <row r="326" spans="1:11" x14ac:dyDescent="0.2">
      <c r="A326">
        <v>2324</v>
      </c>
      <c r="B326" s="4">
        <v>45251</v>
      </c>
      <c r="C326" t="s">
        <v>18</v>
      </c>
      <c r="D326" t="s">
        <v>20</v>
      </c>
      <c r="E326" t="s">
        <v>24</v>
      </c>
      <c r="F326" t="s">
        <v>38</v>
      </c>
      <c r="G326">
        <v>35</v>
      </c>
      <c r="H326">
        <v>7031</v>
      </c>
      <c r="I326">
        <v>0.05</v>
      </c>
      <c r="J326">
        <v>233780.75</v>
      </c>
      <c r="K326">
        <v>46763.82</v>
      </c>
    </row>
    <row r="327" spans="1:11" x14ac:dyDescent="0.2">
      <c r="A327">
        <v>2325</v>
      </c>
      <c r="B327" s="4">
        <v>45252</v>
      </c>
      <c r="C327" t="s">
        <v>17</v>
      </c>
      <c r="D327" t="s">
        <v>20</v>
      </c>
      <c r="E327" t="s">
        <v>27</v>
      </c>
      <c r="F327" t="s">
        <v>37</v>
      </c>
      <c r="G327">
        <v>27</v>
      </c>
      <c r="H327">
        <v>6119</v>
      </c>
      <c r="I327">
        <v>0</v>
      </c>
      <c r="J327">
        <v>165213</v>
      </c>
      <c r="K327">
        <v>22743.79</v>
      </c>
    </row>
    <row r="328" spans="1:11" x14ac:dyDescent="0.2">
      <c r="A328">
        <v>2326</v>
      </c>
      <c r="B328" s="4">
        <v>45253</v>
      </c>
      <c r="C328" t="s">
        <v>17</v>
      </c>
      <c r="D328" t="s">
        <v>20</v>
      </c>
      <c r="E328" t="s">
        <v>27</v>
      </c>
      <c r="F328" t="s">
        <v>37</v>
      </c>
      <c r="G328">
        <v>1</v>
      </c>
      <c r="H328">
        <v>5112</v>
      </c>
      <c r="I328">
        <v>0.05</v>
      </c>
      <c r="J328">
        <v>4856.3999999999996</v>
      </c>
      <c r="K328">
        <v>636.38</v>
      </c>
    </row>
    <row r="329" spans="1:11" x14ac:dyDescent="0.2">
      <c r="A329">
        <v>2327</v>
      </c>
      <c r="B329" s="4">
        <v>45254</v>
      </c>
      <c r="C329" t="s">
        <v>17</v>
      </c>
      <c r="D329" t="s">
        <v>19</v>
      </c>
      <c r="E329" t="s">
        <v>28</v>
      </c>
      <c r="F329" t="s">
        <v>38</v>
      </c>
      <c r="G329">
        <v>19</v>
      </c>
      <c r="H329">
        <v>690</v>
      </c>
      <c r="I329">
        <v>0.05</v>
      </c>
      <c r="J329">
        <v>12454.5</v>
      </c>
      <c r="K329">
        <v>1798.74</v>
      </c>
    </row>
    <row r="330" spans="1:11" x14ac:dyDescent="0.2">
      <c r="A330">
        <v>2328</v>
      </c>
      <c r="B330" s="4">
        <v>45255</v>
      </c>
      <c r="C330" t="s">
        <v>15</v>
      </c>
      <c r="D330" t="s">
        <v>19</v>
      </c>
      <c r="E330" t="s">
        <v>25</v>
      </c>
      <c r="F330" t="s">
        <v>38</v>
      </c>
      <c r="G330">
        <v>6</v>
      </c>
      <c r="H330">
        <v>273</v>
      </c>
      <c r="I330">
        <v>0.05</v>
      </c>
      <c r="J330">
        <v>1556.1</v>
      </c>
      <c r="K330">
        <v>156.29</v>
      </c>
    </row>
    <row r="331" spans="1:11" x14ac:dyDescent="0.2">
      <c r="A331">
        <v>2329</v>
      </c>
      <c r="B331" s="4">
        <v>45256</v>
      </c>
      <c r="C331" t="s">
        <v>15</v>
      </c>
      <c r="D331" t="s">
        <v>22</v>
      </c>
      <c r="E331" t="s">
        <v>30</v>
      </c>
      <c r="F331" t="s">
        <v>37</v>
      </c>
      <c r="G331">
        <v>19</v>
      </c>
      <c r="H331">
        <v>23385</v>
      </c>
      <c r="I331">
        <v>0.1</v>
      </c>
      <c r="J331">
        <v>399883.5</v>
      </c>
      <c r="K331">
        <v>54685.21</v>
      </c>
    </row>
    <row r="332" spans="1:11" x14ac:dyDescent="0.2">
      <c r="A332">
        <v>2330</v>
      </c>
      <c r="B332" s="4">
        <v>45257</v>
      </c>
      <c r="C332" t="s">
        <v>13</v>
      </c>
      <c r="D332" t="s">
        <v>21</v>
      </c>
      <c r="E332" t="s">
        <v>29</v>
      </c>
      <c r="F332" t="s">
        <v>38</v>
      </c>
      <c r="G332">
        <v>10</v>
      </c>
      <c r="H332">
        <v>130021</v>
      </c>
      <c r="I332">
        <v>0.05</v>
      </c>
      <c r="J332">
        <v>1235199.5</v>
      </c>
      <c r="K332">
        <v>102551.07</v>
      </c>
    </row>
    <row r="333" spans="1:11" x14ac:dyDescent="0.2">
      <c r="A333">
        <v>2331</v>
      </c>
      <c r="B333" s="4">
        <v>45258</v>
      </c>
      <c r="C333" t="s">
        <v>13</v>
      </c>
      <c r="D333" t="s">
        <v>21</v>
      </c>
      <c r="E333" t="s">
        <v>31</v>
      </c>
      <c r="F333" t="s">
        <v>36</v>
      </c>
      <c r="G333">
        <v>13</v>
      </c>
      <c r="H333">
        <v>67728</v>
      </c>
      <c r="I333">
        <v>0.05</v>
      </c>
      <c r="J333">
        <v>836440.8</v>
      </c>
      <c r="K333">
        <v>104223.44</v>
      </c>
    </row>
    <row r="334" spans="1:11" x14ac:dyDescent="0.2">
      <c r="A334">
        <v>2332</v>
      </c>
      <c r="B334" s="4">
        <v>45259</v>
      </c>
      <c r="C334" t="s">
        <v>16</v>
      </c>
      <c r="D334" t="s">
        <v>21</v>
      </c>
      <c r="E334" t="s">
        <v>29</v>
      </c>
      <c r="F334" t="s">
        <v>37</v>
      </c>
      <c r="G334">
        <v>21</v>
      </c>
      <c r="H334">
        <v>39053</v>
      </c>
      <c r="I334">
        <v>0</v>
      </c>
      <c r="J334">
        <v>820113</v>
      </c>
      <c r="K334">
        <v>75160.38</v>
      </c>
    </row>
    <row r="335" spans="1:11" x14ac:dyDescent="0.2">
      <c r="A335">
        <v>2333</v>
      </c>
      <c r="B335" s="4">
        <v>45260</v>
      </c>
      <c r="C335" t="s">
        <v>13</v>
      </c>
      <c r="D335" t="s">
        <v>21</v>
      </c>
      <c r="E335" t="s">
        <v>31</v>
      </c>
      <c r="F335" t="s">
        <v>37</v>
      </c>
      <c r="G335">
        <v>9</v>
      </c>
      <c r="H335">
        <v>151962</v>
      </c>
      <c r="I335">
        <v>0.1</v>
      </c>
      <c r="J335">
        <v>1230892.2</v>
      </c>
      <c r="K335">
        <v>215606.76</v>
      </c>
    </row>
    <row r="336" spans="1:11" x14ac:dyDescent="0.2">
      <c r="A336">
        <v>2334</v>
      </c>
      <c r="B336" s="4">
        <v>45261</v>
      </c>
      <c r="C336" t="s">
        <v>17</v>
      </c>
      <c r="D336" t="s">
        <v>22</v>
      </c>
      <c r="E336" t="s">
        <v>33</v>
      </c>
      <c r="F336" t="s">
        <v>36</v>
      </c>
      <c r="G336">
        <v>27</v>
      </c>
      <c r="H336">
        <v>60911</v>
      </c>
      <c r="I336">
        <v>0.05</v>
      </c>
      <c r="J336">
        <v>1562367.15</v>
      </c>
      <c r="K336">
        <v>274236.25</v>
      </c>
    </row>
    <row r="337" spans="1:11" x14ac:dyDescent="0.2">
      <c r="A337">
        <v>2335</v>
      </c>
      <c r="B337" s="4">
        <v>45262</v>
      </c>
      <c r="C337" t="s">
        <v>13</v>
      </c>
      <c r="D337" t="s">
        <v>19</v>
      </c>
      <c r="E337" t="s">
        <v>32</v>
      </c>
      <c r="F337" t="s">
        <v>37</v>
      </c>
      <c r="G337">
        <v>7</v>
      </c>
      <c r="H337">
        <v>650</v>
      </c>
      <c r="I337">
        <v>0</v>
      </c>
      <c r="J337">
        <v>4550</v>
      </c>
      <c r="K337">
        <v>798.87</v>
      </c>
    </row>
    <row r="338" spans="1:11" x14ac:dyDescent="0.2">
      <c r="A338">
        <v>2336</v>
      </c>
      <c r="B338" s="4">
        <v>45263</v>
      </c>
      <c r="C338" t="s">
        <v>15</v>
      </c>
      <c r="D338" t="s">
        <v>21</v>
      </c>
      <c r="E338" t="s">
        <v>26</v>
      </c>
      <c r="F338" t="s">
        <v>38</v>
      </c>
      <c r="G338">
        <v>15</v>
      </c>
      <c r="H338">
        <v>96571</v>
      </c>
      <c r="I338">
        <v>0.1</v>
      </c>
      <c r="J338">
        <v>1303708.5</v>
      </c>
      <c r="K338">
        <v>266633.7</v>
      </c>
    </row>
    <row r="339" spans="1:11" x14ac:dyDescent="0.2">
      <c r="A339">
        <v>2337</v>
      </c>
      <c r="B339" s="4">
        <v>45264</v>
      </c>
      <c r="C339" t="s">
        <v>12</v>
      </c>
      <c r="D339" t="s">
        <v>21</v>
      </c>
      <c r="E339" t="s">
        <v>31</v>
      </c>
      <c r="F339" t="s">
        <v>36</v>
      </c>
      <c r="G339">
        <v>7</v>
      </c>
      <c r="H339">
        <v>57355</v>
      </c>
      <c r="I339">
        <v>0</v>
      </c>
      <c r="J339">
        <v>401485</v>
      </c>
      <c r="K339">
        <v>56443.99</v>
      </c>
    </row>
    <row r="340" spans="1:11" x14ac:dyDescent="0.2">
      <c r="A340">
        <v>2338</v>
      </c>
      <c r="B340" s="4">
        <v>45265</v>
      </c>
      <c r="C340" t="s">
        <v>12</v>
      </c>
      <c r="D340" t="s">
        <v>22</v>
      </c>
      <c r="E340" t="s">
        <v>30</v>
      </c>
      <c r="F340" t="s">
        <v>38</v>
      </c>
      <c r="G340">
        <v>36</v>
      </c>
      <c r="H340">
        <v>79701</v>
      </c>
      <c r="I340">
        <v>0.05</v>
      </c>
      <c r="J340">
        <v>2725774.2</v>
      </c>
      <c r="K340">
        <v>387695.59</v>
      </c>
    </row>
    <row r="341" spans="1:11" x14ac:dyDescent="0.2">
      <c r="A341">
        <v>2339</v>
      </c>
      <c r="B341" s="4">
        <v>45266</v>
      </c>
      <c r="C341" t="s">
        <v>14</v>
      </c>
      <c r="D341" t="s">
        <v>20</v>
      </c>
      <c r="E341" t="s">
        <v>24</v>
      </c>
      <c r="F341" t="s">
        <v>37</v>
      </c>
      <c r="G341">
        <v>4</v>
      </c>
      <c r="H341">
        <v>5074</v>
      </c>
      <c r="I341">
        <v>0.05</v>
      </c>
      <c r="J341">
        <v>19281.2</v>
      </c>
      <c r="K341">
        <v>2679.04</v>
      </c>
    </row>
    <row r="342" spans="1:11" x14ac:dyDescent="0.2">
      <c r="A342">
        <v>2340</v>
      </c>
      <c r="B342" s="4">
        <v>45267</v>
      </c>
      <c r="C342" t="s">
        <v>16</v>
      </c>
      <c r="D342" t="s">
        <v>21</v>
      </c>
      <c r="E342" t="s">
        <v>31</v>
      </c>
      <c r="F342" t="s">
        <v>37</v>
      </c>
      <c r="G342">
        <v>29</v>
      </c>
      <c r="H342">
        <v>12278</v>
      </c>
      <c r="I342">
        <v>0</v>
      </c>
      <c r="J342">
        <v>356062</v>
      </c>
      <c r="K342">
        <v>64301.45</v>
      </c>
    </row>
    <row r="343" spans="1:11" x14ac:dyDescent="0.2">
      <c r="A343">
        <v>2341</v>
      </c>
      <c r="B343" s="4">
        <v>45268</v>
      </c>
      <c r="C343" t="s">
        <v>18</v>
      </c>
      <c r="D343" t="s">
        <v>22</v>
      </c>
      <c r="E343" t="s">
        <v>34</v>
      </c>
      <c r="F343" t="s">
        <v>37</v>
      </c>
      <c r="G343">
        <v>38</v>
      </c>
      <c r="H343">
        <v>216274</v>
      </c>
      <c r="I343">
        <v>0.05</v>
      </c>
      <c r="J343">
        <v>7807491.4000000004</v>
      </c>
      <c r="K343">
        <v>1596182.05</v>
      </c>
    </row>
    <row r="344" spans="1:11" x14ac:dyDescent="0.2">
      <c r="A344">
        <v>2342</v>
      </c>
      <c r="B344" s="4">
        <v>45269</v>
      </c>
      <c r="C344" t="s">
        <v>13</v>
      </c>
      <c r="D344" t="s">
        <v>21</v>
      </c>
      <c r="E344" t="s">
        <v>29</v>
      </c>
      <c r="F344" t="s">
        <v>36</v>
      </c>
      <c r="G344">
        <v>39</v>
      </c>
      <c r="H344">
        <v>115697</v>
      </c>
      <c r="I344">
        <v>0.1</v>
      </c>
      <c r="J344">
        <v>4060964.7</v>
      </c>
      <c r="K344">
        <v>335800.7</v>
      </c>
    </row>
    <row r="345" spans="1:11" x14ac:dyDescent="0.2">
      <c r="A345">
        <v>2343</v>
      </c>
      <c r="B345" s="4">
        <v>45270</v>
      </c>
      <c r="C345" t="s">
        <v>12</v>
      </c>
      <c r="D345" t="s">
        <v>21</v>
      </c>
      <c r="E345" t="s">
        <v>31</v>
      </c>
      <c r="F345" t="s">
        <v>38</v>
      </c>
      <c r="G345">
        <v>30</v>
      </c>
      <c r="H345">
        <v>126982</v>
      </c>
      <c r="I345">
        <v>0.1</v>
      </c>
      <c r="J345">
        <v>3428514</v>
      </c>
      <c r="K345">
        <v>700999.4</v>
      </c>
    </row>
    <row r="346" spans="1:11" x14ac:dyDescent="0.2">
      <c r="A346">
        <v>2344</v>
      </c>
      <c r="B346" s="4">
        <v>45271</v>
      </c>
      <c r="C346" t="s">
        <v>15</v>
      </c>
      <c r="D346" t="s">
        <v>22</v>
      </c>
      <c r="E346" t="s">
        <v>33</v>
      </c>
      <c r="F346" t="s">
        <v>36</v>
      </c>
      <c r="G346">
        <v>26</v>
      </c>
      <c r="H346">
        <v>37695</v>
      </c>
      <c r="I346">
        <v>0.05</v>
      </c>
      <c r="J346">
        <v>931066.5</v>
      </c>
      <c r="K346">
        <v>92982.5</v>
      </c>
    </row>
    <row r="347" spans="1:11" x14ac:dyDescent="0.2">
      <c r="A347">
        <v>2345</v>
      </c>
      <c r="B347" s="4">
        <v>45272</v>
      </c>
      <c r="C347" t="s">
        <v>14</v>
      </c>
      <c r="D347" t="s">
        <v>22</v>
      </c>
      <c r="E347" t="s">
        <v>30</v>
      </c>
      <c r="F347" t="s">
        <v>36</v>
      </c>
      <c r="G347">
        <v>10</v>
      </c>
      <c r="H347">
        <v>249382</v>
      </c>
      <c r="I347">
        <v>0</v>
      </c>
      <c r="J347">
        <v>2493820</v>
      </c>
      <c r="K347">
        <v>270343.21000000002</v>
      </c>
    </row>
    <row r="348" spans="1:11" x14ac:dyDescent="0.2">
      <c r="A348">
        <v>2346</v>
      </c>
      <c r="B348" s="4">
        <v>45273</v>
      </c>
      <c r="C348" t="s">
        <v>18</v>
      </c>
      <c r="D348" t="s">
        <v>21</v>
      </c>
      <c r="E348" t="s">
        <v>26</v>
      </c>
      <c r="F348" t="s">
        <v>38</v>
      </c>
      <c r="G348">
        <v>25</v>
      </c>
      <c r="H348">
        <v>57507</v>
      </c>
      <c r="I348">
        <v>0.1</v>
      </c>
      <c r="J348">
        <v>1293907.5</v>
      </c>
      <c r="K348">
        <v>300743.81</v>
      </c>
    </row>
    <row r="349" spans="1:11" x14ac:dyDescent="0.2">
      <c r="A349">
        <v>2347</v>
      </c>
      <c r="B349" s="4">
        <v>45274</v>
      </c>
      <c r="C349" t="s">
        <v>17</v>
      </c>
      <c r="D349" t="s">
        <v>22</v>
      </c>
      <c r="E349" t="s">
        <v>34</v>
      </c>
      <c r="F349" t="s">
        <v>37</v>
      </c>
      <c r="G349">
        <v>33</v>
      </c>
      <c r="H349">
        <v>83639</v>
      </c>
      <c r="I349">
        <v>0.05</v>
      </c>
      <c r="J349">
        <v>2622082.65</v>
      </c>
      <c r="K349">
        <v>580327</v>
      </c>
    </row>
    <row r="350" spans="1:11" x14ac:dyDescent="0.2">
      <c r="A350">
        <v>2348</v>
      </c>
      <c r="B350" s="4">
        <v>45275</v>
      </c>
      <c r="C350" t="s">
        <v>14</v>
      </c>
      <c r="D350" t="s">
        <v>19</v>
      </c>
      <c r="E350" t="s">
        <v>32</v>
      </c>
      <c r="F350" t="s">
        <v>37</v>
      </c>
      <c r="G350">
        <v>5</v>
      </c>
      <c r="H350">
        <v>632</v>
      </c>
      <c r="I350">
        <v>0</v>
      </c>
      <c r="J350">
        <v>3160</v>
      </c>
      <c r="K350">
        <v>333.41</v>
      </c>
    </row>
    <row r="351" spans="1:11" x14ac:dyDescent="0.2">
      <c r="A351">
        <v>2349</v>
      </c>
      <c r="B351" s="4">
        <v>45276</v>
      </c>
      <c r="C351" t="s">
        <v>14</v>
      </c>
      <c r="D351" t="s">
        <v>21</v>
      </c>
      <c r="E351" t="s">
        <v>31</v>
      </c>
      <c r="F351" t="s">
        <v>36</v>
      </c>
      <c r="G351">
        <v>12</v>
      </c>
      <c r="H351">
        <v>107160</v>
      </c>
      <c r="I351">
        <v>0.1</v>
      </c>
      <c r="J351">
        <v>1157328</v>
      </c>
      <c r="K351">
        <v>254005.15</v>
      </c>
    </row>
    <row r="352" spans="1:11" x14ac:dyDescent="0.2">
      <c r="A352">
        <v>2350</v>
      </c>
      <c r="B352" s="4">
        <v>45277</v>
      </c>
      <c r="C352" t="s">
        <v>12</v>
      </c>
      <c r="D352" t="s">
        <v>19</v>
      </c>
      <c r="E352" t="s">
        <v>32</v>
      </c>
      <c r="F352" t="s">
        <v>38</v>
      </c>
      <c r="G352">
        <v>31</v>
      </c>
      <c r="H352">
        <v>440</v>
      </c>
      <c r="I352">
        <v>0</v>
      </c>
      <c r="J352">
        <v>13640</v>
      </c>
      <c r="K352">
        <v>3398.91</v>
      </c>
    </row>
    <row r="353" spans="1:11" x14ac:dyDescent="0.2">
      <c r="A353">
        <v>2351</v>
      </c>
      <c r="B353" s="4">
        <v>45278</v>
      </c>
      <c r="C353" t="s">
        <v>18</v>
      </c>
      <c r="D353" t="s">
        <v>20</v>
      </c>
      <c r="E353" t="s">
        <v>27</v>
      </c>
      <c r="F353" t="s">
        <v>36</v>
      </c>
      <c r="G353">
        <v>34</v>
      </c>
      <c r="H353">
        <v>5012</v>
      </c>
      <c r="I353">
        <v>0</v>
      </c>
      <c r="J353">
        <v>170408</v>
      </c>
      <c r="K353">
        <v>35695.49</v>
      </c>
    </row>
    <row r="354" spans="1:11" x14ac:dyDescent="0.2">
      <c r="A354">
        <v>2352</v>
      </c>
      <c r="B354" s="4">
        <v>45279</v>
      </c>
      <c r="C354" t="s">
        <v>11</v>
      </c>
      <c r="D354" t="s">
        <v>21</v>
      </c>
      <c r="E354" t="s">
        <v>31</v>
      </c>
      <c r="F354" t="s">
        <v>37</v>
      </c>
      <c r="G354">
        <v>12</v>
      </c>
      <c r="H354">
        <v>120857</v>
      </c>
      <c r="I354">
        <v>0.05</v>
      </c>
      <c r="J354">
        <v>1377769.8</v>
      </c>
      <c r="K354">
        <v>288298.34999999998</v>
      </c>
    </row>
    <row r="355" spans="1:11" x14ac:dyDescent="0.2">
      <c r="A355">
        <v>2353</v>
      </c>
      <c r="B355" s="4">
        <v>45280</v>
      </c>
      <c r="C355" t="s">
        <v>13</v>
      </c>
      <c r="D355" t="s">
        <v>21</v>
      </c>
      <c r="E355" t="s">
        <v>31</v>
      </c>
      <c r="F355" t="s">
        <v>37</v>
      </c>
      <c r="G355">
        <v>29</v>
      </c>
      <c r="H355">
        <v>117480</v>
      </c>
      <c r="I355">
        <v>0.1</v>
      </c>
      <c r="J355">
        <v>3066228</v>
      </c>
      <c r="K355">
        <v>721728.31</v>
      </c>
    </row>
    <row r="356" spans="1:11" x14ac:dyDescent="0.2">
      <c r="A356">
        <v>2354</v>
      </c>
      <c r="B356" s="4">
        <v>45281</v>
      </c>
      <c r="C356" t="s">
        <v>13</v>
      </c>
      <c r="D356" t="s">
        <v>22</v>
      </c>
      <c r="E356" t="s">
        <v>30</v>
      </c>
      <c r="F356" t="s">
        <v>36</v>
      </c>
      <c r="G356">
        <v>27</v>
      </c>
      <c r="H356">
        <v>88130</v>
      </c>
      <c r="I356">
        <v>0</v>
      </c>
      <c r="J356">
        <v>2379510</v>
      </c>
      <c r="K356">
        <v>357385.95</v>
      </c>
    </row>
    <row r="357" spans="1:11" x14ac:dyDescent="0.2">
      <c r="A357">
        <v>2355</v>
      </c>
      <c r="B357" s="4">
        <v>45282</v>
      </c>
      <c r="C357" t="s">
        <v>13</v>
      </c>
      <c r="D357" t="s">
        <v>21</v>
      </c>
      <c r="E357" t="s">
        <v>31</v>
      </c>
      <c r="F357" t="s">
        <v>38</v>
      </c>
      <c r="G357">
        <v>5</v>
      </c>
      <c r="H357">
        <v>97191</v>
      </c>
      <c r="I357">
        <v>0.1</v>
      </c>
      <c r="J357">
        <v>437359.5</v>
      </c>
      <c r="K357">
        <v>55892.53</v>
      </c>
    </row>
    <row r="358" spans="1:11" x14ac:dyDescent="0.2">
      <c r="A358">
        <v>2356</v>
      </c>
      <c r="B358" s="4">
        <v>45283</v>
      </c>
      <c r="C358" t="s">
        <v>11</v>
      </c>
      <c r="D358" t="s">
        <v>20</v>
      </c>
      <c r="E358" t="s">
        <v>24</v>
      </c>
      <c r="F358" t="s">
        <v>38</v>
      </c>
      <c r="G358">
        <v>6</v>
      </c>
      <c r="H358">
        <v>6267</v>
      </c>
      <c r="I358">
        <v>0.05</v>
      </c>
      <c r="J358">
        <v>35721.9</v>
      </c>
      <c r="K358">
        <v>8850.9599999999991</v>
      </c>
    </row>
    <row r="359" spans="1:11" x14ac:dyDescent="0.2">
      <c r="A359">
        <v>2357</v>
      </c>
      <c r="B359" s="4">
        <v>45284</v>
      </c>
      <c r="C359" t="s">
        <v>13</v>
      </c>
      <c r="D359" t="s">
        <v>20</v>
      </c>
      <c r="E359" t="s">
        <v>24</v>
      </c>
      <c r="F359" t="s">
        <v>38</v>
      </c>
      <c r="G359">
        <v>20</v>
      </c>
      <c r="H359">
        <v>7922</v>
      </c>
      <c r="I359">
        <v>0.05</v>
      </c>
      <c r="J359">
        <v>150518</v>
      </c>
      <c r="K359">
        <v>15757.68</v>
      </c>
    </row>
    <row r="360" spans="1:11" x14ac:dyDescent="0.2">
      <c r="A360">
        <v>2358</v>
      </c>
      <c r="B360" s="4">
        <v>45285</v>
      </c>
      <c r="C360" t="s">
        <v>14</v>
      </c>
      <c r="D360" t="s">
        <v>22</v>
      </c>
      <c r="E360" t="s">
        <v>34</v>
      </c>
      <c r="F360" t="s">
        <v>38</v>
      </c>
      <c r="G360">
        <v>31</v>
      </c>
      <c r="H360">
        <v>115508</v>
      </c>
      <c r="I360">
        <v>0.1</v>
      </c>
      <c r="J360">
        <v>3222673.2</v>
      </c>
      <c r="K360">
        <v>509633.9</v>
      </c>
    </row>
    <row r="361" spans="1:11" x14ac:dyDescent="0.2">
      <c r="A361">
        <v>2359</v>
      </c>
      <c r="B361" s="4">
        <v>45286</v>
      </c>
      <c r="C361" t="s">
        <v>14</v>
      </c>
      <c r="D361" t="s">
        <v>19</v>
      </c>
      <c r="E361" t="s">
        <v>23</v>
      </c>
      <c r="F361" t="s">
        <v>36</v>
      </c>
      <c r="G361">
        <v>38</v>
      </c>
      <c r="H361">
        <v>257</v>
      </c>
      <c r="I361">
        <v>0</v>
      </c>
      <c r="J361">
        <v>9766</v>
      </c>
      <c r="K361">
        <v>1658.46</v>
      </c>
    </row>
    <row r="362" spans="1:11" x14ac:dyDescent="0.2">
      <c r="A362">
        <v>2360</v>
      </c>
      <c r="B362" s="4">
        <v>45287</v>
      </c>
      <c r="C362" t="s">
        <v>15</v>
      </c>
      <c r="D362" t="s">
        <v>20</v>
      </c>
      <c r="E362" t="s">
        <v>27</v>
      </c>
      <c r="F362" t="s">
        <v>36</v>
      </c>
      <c r="G362">
        <v>20</v>
      </c>
      <c r="H362">
        <v>5180</v>
      </c>
      <c r="I362">
        <v>0.05</v>
      </c>
      <c r="J362">
        <v>98420</v>
      </c>
      <c r="K362">
        <v>13843.03</v>
      </c>
    </row>
    <row r="363" spans="1:11" x14ac:dyDescent="0.2">
      <c r="A363">
        <v>2361</v>
      </c>
      <c r="B363" s="4">
        <v>45288</v>
      </c>
      <c r="C363" t="s">
        <v>12</v>
      </c>
      <c r="D363" t="s">
        <v>21</v>
      </c>
      <c r="E363" t="s">
        <v>29</v>
      </c>
      <c r="F363" t="s">
        <v>36</v>
      </c>
      <c r="G363">
        <v>10</v>
      </c>
      <c r="H363">
        <v>68227</v>
      </c>
      <c r="I363">
        <v>0.05</v>
      </c>
      <c r="J363">
        <v>648156.5</v>
      </c>
      <c r="K363">
        <v>54399.47</v>
      </c>
    </row>
    <row r="364" spans="1:11" x14ac:dyDescent="0.2">
      <c r="A364">
        <v>2362</v>
      </c>
      <c r="B364" s="4">
        <v>45289</v>
      </c>
      <c r="C364" t="s">
        <v>13</v>
      </c>
      <c r="D364" t="s">
        <v>20</v>
      </c>
      <c r="E364" t="s">
        <v>27</v>
      </c>
      <c r="F364" t="s">
        <v>36</v>
      </c>
      <c r="G364">
        <v>2</v>
      </c>
      <c r="H364">
        <v>4117</v>
      </c>
      <c r="I364">
        <v>0.1</v>
      </c>
      <c r="J364">
        <v>7410.6</v>
      </c>
      <c r="K364">
        <v>1117.94</v>
      </c>
    </row>
    <row r="365" spans="1:11" x14ac:dyDescent="0.2">
      <c r="A365">
        <v>2363</v>
      </c>
      <c r="B365" s="4">
        <v>45290</v>
      </c>
      <c r="C365" t="s">
        <v>17</v>
      </c>
      <c r="D365" t="s">
        <v>19</v>
      </c>
      <c r="E365" t="s">
        <v>23</v>
      </c>
      <c r="F365" t="s">
        <v>37</v>
      </c>
      <c r="G365">
        <v>34</v>
      </c>
      <c r="H365">
        <v>457</v>
      </c>
      <c r="I365">
        <v>0</v>
      </c>
      <c r="J365">
        <v>15538</v>
      </c>
      <c r="K365">
        <v>3447.33</v>
      </c>
    </row>
    <row r="366" spans="1:11" x14ac:dyDescent="0.2">
      <c r="A366">
        <v>2364</v>
      </c>
      <c r="B366" s="4">
        <v>45291</v>
      </c>
      <c r="C366" t="s">
        <v>11</v>
      </c>
      <c r="D366" t="s">
        <v>22</v>
      </c>
      <c r="E366" t="s">
        <v>34</v>
      </c>
      <c r="F366" t="s">
        <v>37</v>
      </c>
      <c r="G366">
        <v>4</v>
      </c>
      <c r="H366">
        <v>103421</v>
      </c>
      <c r="I366">
        <v>0.05</v>
      </c>
      <c r="J366">
        <v>392999.8</v>
      </c>
      <c r="K366">
        <v>51450.81</v>
      </c>
    </row>
    <row r="367" spans="1:11" x14ac:dyDescent="0.2">
      <c r="A367">
        <v>2365</v>
      </c>
      <c r="B367" s="4">
        <v>45292</v>
      </c>
      <c r="C367" t="s">
        <v>17</v>
      </c>
      <c r="D367" t="s">
        <v>21</v>
      </c>
      <c r="E367" t="s">
        <v>29</v>
      </c>
      <c r="F367" t="s">
        <v>38</v>
      </c>
      <c r="G367">
        <v>26</v>
      </c>
      <c r="H367">
        <v>97455</v>
      </c>
      <c r="I367">
        <v>0.1</v>
      </c>
      <c r="J367">
        <v>2280447</v>
      </c>
      <c r="K367">
        <v>240856.8</v>
      </c>
    </row>
    <row r="368" spans="1:11" x14ac:dyDescent="0.2">
      <c r="A368">
        <v>2366</v>
      </c>
      <c r="B368" s="4">
        <v>45293</v>
      </c>
      <c r="C368" t="s">
        <v>17</v>
      </c>
      <c r="D368" t="s">
        <v>20</v>
      </c>
      <c r="E368" t="s">
        <v>27</v>
      </c>
      <c r="F368" t="s">
        <v>37</v>
      </c>
      <c r="G368">
        <v>30</v>
      </c>
      <c r="H368">
        <v>5618</v>
      </c>
      <c r="I368">
        <v>0</v>
      </c>
      <c r="J368">
        <v>168540</v>
      </c>
      <c r="K368">
        <v>19609.919999999998</v>
      </c>
    </row>
    <row r="369" spans="1:11" x14ac:dyDescent="0.2">
      <c r="A369">
        <v>2367</v>
      </c>
      <c r="B369" s="4">
        <v>45294</v>
      </c>
      <c r="C369" t="s">
        <v>11</v>
      </c>
      <c r="D369" t="s">
        <v>20</v>
      </c>
      <c r="E369" t="s">
        <v>27</v>
      </c>
      <c r="F369" t="s">
        <v>37</v>
      </c>
      <c r="G369">
        <v>16</v>
      </c>
      <c r="H369">
        <v>3651</v>
      </c>
      <c r="I369">
        <v>0.05</v>
      </c>
      <c r="J369">
        <v>55495.199999999997</v>
      </c>
      <c r="K369">
        <v>11432.52</v>
      </c>
    </row>
    <row r="370" spans="1:11" x14ac:dyDescent="0.2">
      <c r="A370">
        <v>2368</v>
      </c>
      <c r="B370" s="4">
        <v>45295</v>
      </c>
      <c r="C370" t="s">
        <v>12</v>
      </c>
      <c r="D370" t="s">
        <v>22</v>
      </c>
      <c r="E370" t="s">
        <v>30</v>
      </c>
      <c r="F370" t="s">
        <v>38</v>
      </c>
      <c r="G370">
        <v>25</v>
      </c>
      <c r="H370">
        <v>249848</v>
      </c>
      <c r="I370">
        <v>0</v>
      </c>
      <c r="J370">
        <v>6246200</v>
      </c>
      <c r="K370">
        <v>578280.30000000005</v>
      </c>
    </row>
    <row r="371" spans="1:11" x14ac:dyDescent="0.2">
      <c r="A371">
        <v>2369</v>
      </c>
      <c r="B371" s="4">
        <v>45296</v>
      </c>
      <c r="C371" t="s">
        <v>12</v>
      </c>
      <c r="D371" t="s">
        <v>22</v>
      </c>
      <c r="E371" t="s">
        <v>30</v>
      </c>
      <c r="F371" t="s">
        <v>37</v>
      </c>
      <c r="G371">
        <v>14</v>
      </c>
      <c r="H371">
        <v>228115</v>
      </c>
      <c r="I371">
        <v>0.1</v>
      </c>
      <c r="J371">
        <v>2874249</v>
      </c>
      <c r="K371">
        <v>419681.56</v>
      </c>
    </row>
    <row r="372" spans="1:11" x14ac:dyDescent="0.2">
      <c r="A372">
        <v>2370</v>
      </c>
      <c r="B372" s="4">
        <v>45297</v>
      </c>
      <c r="C372" t="s">
        <v>17</v>
      </c>
      <c r="D372" t="s">
        <v>21</v>
      </c>
      <c r="E372" t="s">
        <v>29</v>
      </c>
      <c r="F372" t="s">
        <v>38</v>
      </c>
      <c r="G372">
        <v>32</v>
      </c>
      <c r="H372">
        <v>123387</v>
      </c>
      <c r="I372">
        <v>0.05</v>
      </c>
      <c r="J372">
        <v>3750964.8</v>
      </c>
      <c r="K372">
        <v>918397.86</v>
      </c>
    </row>
    <row r="373" spans="1:11" x14ac:dyDescent="0.2">
      <c r="A373">
        <v>2371</v>
      </c>
      <c r="B373" s="4">
        <v>45298</v>
      </c>
      <c r="C373" t="s">
        <v>16</v>
      </c>
      <c r="D373" t="s">
        <v>21</v>
      </c>
      <c r="E373" t="s">
        <v>26</v>
      </c>
      <c r="F373" t="s">
        <v>36</v>
      </c>
      <c r="G373">
        <v>36</v>
      </c>
      <c r="H373">
        <v>39414</v>
      </c>
      <c r="I373">
        <v>0</v>
      </c>
      <c r="J373">
        <v>1418904</v>
      </c>
      <c r="K373">
        <v>343050.57</v>
      </c>
    </row>
    <row r="374" spans="1:11" x14ac:dyDescent="0.2">
      <c r="A374">
        <v>2372</v>
      </c>
      <c r="B374" s="4">
        <v>45299</v>
      </c>
      <c r="C374" t="s">
        <v>18</v>
      </c>
      <c r="D374" t="s">
        <v>20</v>
      </c>
      <c r="E374" t="s">
        <v>24</v>
      </c>
      <c r="F374" t="s">
        <v>38</v>
      </c>
      <c r="G374">
        <v>7</v>
      </c>
      <c r="H374">
        <v>7048</v>
      </c>
      <c r="I374">
        <v>0.1</v>
      </c>
      <c r="J374">
        <v>44402.400000000001</v>
      </c>
      <c r="K374">
        <v>7400.73</v>
      </c>
    </row>
    <row r="375" spans="1:11" x14ac:dyDescent="0.2">
      <c r="A375">
        <v>2373</v>
      </c>
      <c r="B375" s="4">
        <v>45300</v>
      </c>
      <c r="C375" t="s">
        <v>14</v>
      </c>
      <c r="D375" t="s">
        <v>21</v>
      </c>
      <c r="E375" t="s">
        <v>26</v>
      </c>
      <c r="F375" t="s">
        <v>38</v>
      </c>
      <c r="G375">
        <v>15</v>
      </c>
      <c r="H375">
        <v>151209</v>
      </c>
      <c r="I375">
        <v>0.1</v>
      </c>
      <c r="J375">
        <v>2041321.5</v>
      </c>
      <c r="K375">
        <v>504588.91</v>
      </c>
    </row>
    <row r="376" spans="1:11" x14ac:dyDescent="0.2">
      <c r="A376">
        <v>2374</v>
      </c>
      <c r="B376" s="4">
        <v>45301</v>
      </c>
      <c r="C376" t="s">
        <v>17</v>
      </c>
      <c r="D376" t="s">
        <v>22</v>
      </c>
      <c r="E376" t="s">
        <v>34</v>
      </c>
      <c r="F376" t="s">
        <v>36</v>
      </c>
      <c r="G376">
        <v>35</v>
      </c>
      <c r="H376">
        <v>186130</v>
      </c>
      <c r="I376">
        <v>0</v>
      </c>
      <c r="J376">
        <v>6514550</v>
      </c>
      <c r="K376">
        <v>1404381.92</v>
      </c>
    </row>
    <row r="377" spans="1:11" x14ac:dyDescent="0.2">
      <c r="A377">
        <v>2375</v>
      </c>
      <c r="B377" s="4">
        <v>45302</v>
      </c>
      <c r="C377" t="s">
        <v>13</v>
      </c>
      <c r="D377" t="s">
        <v>19</v>
      </c>
      <c r="E377" t="s">
        <v>28</v>
      </c>
      <c r="F377" t="s">
        <v>38</v>
      </c>
      <c r="G377">
        <v>8</v>
      </c>
      <c r="H377">
        <v>505</v>
      </c>
      <c r="I377">
        <v>0.05</v>
      </c>
      <c r="J377">
        <v>3838</v>
      </c>
      <c r="K377">
        <v>679.52</v>
      </c>
    </row>
    <row r="378" spans="1:11" x14ac:dyDescent="0.2">
      <c r="A378">
        <v>2376</v>
      </c>
      <c r="B378" s="4">
        <v>45303</v>
      </c>
      <c r="C378" t="s">
        <v>13</v>
      </c>
      <c r="D378" t="s">
        <v>21</v>
      </c>
      <c r="E378" t="s">
        <v>29</v>
      </c>
      <c r="F378" t="s">
        <v>37</v>
      </c>
      <c r="G378">
        <v>35</v>
      </c>
      <c r="H378">
        <v>124337</v>
      </c>
      <c r="I378">
        <v>0</v>
      </c>
      <c r="J378">
        <v>4351795</v>
      </c>
      <c r="K378">
        <v>699584.99</v>
      </c>
    </row>
    <row r="379" spans="1:11" x14ac:dyDescent="0.2">
      <c r="A379">
        <v>2377</v>
      </c>
      <c r="B379" s="4">
        <v>45304</v>
      </c>
      <c r="C379" t="s">
        <v>13</v>
      </c>
      <c r="D379" t="s">
        <v>20</v>
      </c>
      <c r="E379" t="s">
        <v>27</v>
      </c>
      <c r="F379" t="s">
        <v>38</v>
      </c>
      <c r="G379">
        <v>29</v>
      </c>
      <c r="H379">
        <v>3859</v>
      </c>
      <c r="I379">
        <v>0.05</v>
      </c>
      <c r="J379">
        <v>106315.45</v>
      </c>
      <c r="K379">
        <v>13087.05</v>
      </c>
    </row>
    <row r="380" spans="1:11" x14ac:dyDescent="0.2">
      <c r="A380">
        <v>2378</v>
      </c>
      <c r="B380" s="4">
        <v>45305</v>
      </c>
      <c r="C380" t="s">
        <v>15</v>
      </c>
      <c r="D380" t="s">
        <v>21</v>
      </c>
      <c r="E380" t="s">
        <v>26</v>
      </c>
      <c r="F380" t="s">
        <v>37</v>
      </c>
      <c r="G380">
        <v>13</v>
      </c>
      <c r="H380">
        <v>34414</v>
      </c>
      <c r="I380">
        <v>0</v>
      </c>
      <c r="J380">
        <v>447382</v>
      </c>
      <c r="K380">
        <v>66785.62</v>
      </c>
    </row>
    <row r="381" spans="1:11" x14ac:dyDescent="0.2">
      <c r="A381">
        <v>2379</v>
      </c>
      <c r="B381" s="4">
        <v>45306</v>
      </c>
      <c r="C381" t="s">
        <v>14</v>
      </c>
      <c r="D381" t="s">
        <v>20</v>
      </c>
      <c r="E381" t="s">
        <v>24</v>
      </c>
      <c r="F381" t="s">
        <v>37</v>
      </c>
      <c r="G381">
        <v>4</v>
      </c>
      <c r="H381">
        <v>7710</v>
      </c>
      <c r="I381">
        <v>0.1</v>
      </c>
      <c r="J381">
        <v>27756</v>
      </c>
      <c r="K381">
        <v>2808.34</v>
      </c>
    </row>
    <row r="382" spans="1:11" x14ac:dyDescent="0.2">
      <c r="A382">
        <v>2380</v>
      </c>
      <c r="B382" s="4">
        <v>45307</v>
      </c>
      <c r="C382" t="s">
        <v>14</v>
      </c>
      <c r="D382" t="s">
        <v>21</v>
      </c>
      <c r="E382" t="s">
        <v>26</v>
      </c>
      <c r="F382" t="s">
        <v>36</v>
      </c>
      <c r="G382">
        <v>11</v>
      </c>
      <c r="H382">
        <v>95460</v>
      </c>
      <c r="I382">
        <v>0.1</v>
      </c>
      <c r="J382">
        <v>945054</v>
      </c>
      <c r="K382">
        <v>192773.44</v>
      </c>
    </row>
    <row r="383" spans="1:11" x14ac:dyDescent="0.2">
      <c r="A383">
        <v>2381</v>
      </c>
      <c r="B383" s="4">
        <v>45308</v>
      </c>
      <c r="C383" t="s">
        <v>16</v>
      </c>
      <c r="D383" t="s">
        <v>22</v>
      </c>
      <c r="E383" t="s">
        <v>33</v>
      </c>
      <c r="F383" t="s">
        <v>37</v>
      </c>
      <c r="G383">
        <v>25</v>
      </c>
      <c r="H383">
        <v>48248</v>
      </c>
      <c r="I383">
        <v>0.1</v>
      </c>
      <c r="J383">
        <v>1085580</v>
      </c>
      <c r="K383">
        <v>127308.03</v>
      </c>
    </row>
    <row r="384" spans="1:11" x14ac:dyDescent="0.2">
      <c r="A384">
        <v>2382</v>
      </c>
      <c r="B384" s="4">
        <v>45309</v>
      </c>
      <c r="C384" t="s">
        <v>15</v>
      </c>
      <c r="D384" t="s">
        <v>21</v>
      </c>
      <c r="E384" t="s">
        <v>26</v>
      </c>
      <c r="F384" t="s">
        <v>38</v>
      </c>
      <c r="G384">
        <v>29</v>
      </c>
      <c r="H384">
        <v>139197</v>
      </c>
      <c r="I384">
        <v>0.1</v>
      </c>
      <c r="J384">
        <v>3633041.7</v>
      </c>
      <c r="K384">
        <v>499763.18</v>
      </c>
    </row>
    <row r="385" spans="1:11" x14ac:dyDescent="0.2">
      <c r="A385">
        <v>2383</v>
      </c>
      <c r="B385" s="4">
        <v>45310</v>
      </c>
      <c r="C385" t="s">
        <v>11</v>
      </c>
      <c r="D385" t="s">
        <v>21</v>
      </c>
      <c r="E385" t="s">
        <v>31</v>
      </c>
      <c r="F385" t="s">
        <v>37</v>
      </c>
      <c r="G385">
        <v>10</v>
      </c>
      <c r="H385">
        <v>42165</v>
      </c>
      <c r="I385">
        <v>0</v>
      </c>
      <c r="J385">
        <v>421650</v>
      </c>
      <c r="K385">
        <v>52372.84</v>
      </c>
    </row>
    <row r="386" spans="1:11" x14ac:dyDescent="0.2">
      <c r="A386">
        <v>2384</v>
      </c>
      <c r="B386" s="4">
        <v>45311</v>
      </c>
      <c r="C386" t="s">
        <v>11</v>
      </c>
      <c r="D386" t="s">
        <v>22</v>
      </c>
      <c r="E386" t="s">
        <v>34</v>
      </c>
      <c r="F386" t="s">
        <v>38</v>
      </c>
      <c r="G386">
        <v>8</v>
      </c>
      <c r="H386">
        <v>170947</v>
      </c>
      <c r="I386">
        <v>0</v>
      </c>
      <c r="J386">
        <v>1367576</v>
      </c>
      <c r="K386">
        <v>289266.81</v>
      </c>
    </row>
    <row r="387" spans="1:11" x14ac:dyDescent="0.2">
      <c r="A387">
        <v>2385</v>
      </c>
      <c r="B387" s="4">
        <v>45312</v>
      </c>
      <c r="C387" t="s">
        <v>18</v>
      </c>
      <c r="D387" t="s">
        <v>20</v>
      </c>
      <c r="E387" t="s">
        <v>27</v>
      </c>
      <c r="F387" t="s">
        <v>36</v>
      </c>
      <c r="G387">
        <v>34</v>
      </c>
      <c r="H387">
        <v>4002</v>
      </c>
      <c r="I387">
        <v>0.05</v>
      </c>
      <c r="J387">
        <v>129264.6</v>
      </c>
      <c r="K387">
        <v>30124.16</v>
      </c>
    </row>
    <row r="388" spans="1:11" x14ac:dyDescent="0.2">
      <c r="A388">
        <v>2386</v>
      </c>
      <c r="B388" s="4">
        <v>45313</v>
      </c>
      <c r="C388" t="s">
        <v>14</v>
      </c>
      <c r="D388" t="s">
        <v>19</v>
      </c>
      <c r="E388" t="s">
        <v>32</v>
      </c>
      <c r="F388" t="s">
        <v>36</v>
      </c>
      <c r="G388">
        <v>7</v>
      </c>
      <c r="H388">
        <v>365</v>
      </c>
      <c r="I388">
        <v>0.05</v>
      </c>
      <c r="J388">
        <v>2427.25</v>
      </c>
      <c r="K388">
        <v>476.4</v>
      </c>
    </row>
    <row r="389" spans="1:11" x14ac:dyDescent="0.2">
      <c r="A389">
        <v>2387</v>
      </c>
      <c r="B389" s="4">
        <v>45314</v>
      </c>
      <c r="C389" t="s">
        <v>11</v>
      </c>
      <c r="D389" t="s">
        <v>19</v>
      </c>
      <c r="E389" t="s">
        <v>35</v>
      </c>
      <c r="F389" t="s">
        <v>37</v>
      </c>
      <c r="G389">
        <v>6</v>
      </c>
      <c r="H389">
        <v>150</v>
      </c>
      <c r="I389">
        <v>0</v>
      </c>
      <c r="J389">
        <v>900</v>
      </c>
      <c r="K389">
        <v>82.97</v>
      </c>
    </row>
    <row r="390" spans="1:11" x14ac:dyDescent="0.2">
      <c r="A390">
        <v>2388</v>
      </c>
      <c r="B390" s="4">
        <v>45315</v>
      </c>
      <c r="C390" t="s">
        <v>14</v>
      </c>
      <c r="D390" t="s">
        <v>19</v>
      </c>
      <c r="E390" t="s">
        <v>28</v>
      </c>
      <c r="F390" t="s">
        <v>36</v>
      </c>
      <c r="G390">
        <v>20</v>
      </c>
      <c r="H390">
        <v>479</v>
      </c>
      <c r="I390">
        <v>0.1</v>
      </c>
      <c r="J390">
        <v>8622</v>
      </c>
      <c r="K390">
        <v>1043.43</v>
      </c>
    </row>
    <row r="391" spans="1:11" x14ac:dyDescent="0.2">
      <c r="A391">
        <v>2389</v>
      </c>
      <c r="B391" s="4">
        <v>45316</v>
      </c>
      <c r="C391" t="s">
        <v>14</v>
      </c>
      <c r="D391" t="s">
        <v>21</v>
      </c>
      <c r="E391" t="s">
        <v>26</v>
      </c>
      <c r="F391" t="s">
        <v>36</v>
      </c>
      <c r="G391">
        <v>34</v>
      </c>
      <c r="H391">
        <v>141656</v>
      </c>
      <c r="I391">
        <v>0.05</v>
      </c>
      <c r="J391">
        <v>4575488.8</v>
      </c>
      <c r="K391">
        <v>1101188.72</v>
      </c>
    </row>
    <row r="392" spans="1:11" x14ac:dyDescent="0.2">
      <c r="A392">
        <v>2390</v>
      </c>
      <c r="B392" s="4">
        <v>45317</v>
      </c>
      <c r="C392" t="s">
        <v>17</v>
      </c>
      <c r="D392" t="s">
        <v>19</v>
      </c>
      <c r="E392" t="s">
        <v>35</v>
      </c>
      <c r="F392" t="s">
        <v>37</v>
      </c>
      <c r="G392">
        <v>9</v>
      </c>
      <c r="H392">
        <v>303</v>
      </c>
      <c r="I392">
        <v>0.05</v>
      </c>
      <c r="J392">
        <v>2590.65</v>
      </c>
      <c r="K392">
        <v>348.87</v>
      </c>
    </row>
    <row r="393" spans="1:11" x14ac:dyDescent="0.2">
      <c r="A393">
        <v>2391</v>
      </c>
      <c r="B393" s="4">
        <v>45318</v>
      </c>
      <c r="C393" t="s">
        <v>11</v>
      </c>
      <c r="D393" t="s">
        <v>19</v>
      </c>
      <c r="E393" t="s">
        <v>32</v>
      </c>
      <c r="F393" t="s">
        <v>37</v>
      </c>
      <c r="G393">
        <v>40</v>
      </c>
      <c r="H393">
        <v>555</v>
      </c>
      <c r="I393">
        <v>0.05</v>
      </c>
      <c r="J393">
        <v>21090</v>
      </c>
      <c r="K393">
        <v>1838.14</v>
      </c>
    </row>
    <row r="394" spans="1:11" x14ac:dyDescent="0.2">
      <c r="A394">
        <v>2392</v>
      </c>
      <c r="B394" s="4">
        <v>45319</v>
      </c>
      <c r="C394" t="s">
        <v>12</v>
      </c>
      <c r="D394" t="s">
        <v>21</v>
      </c>
      <c r="E394" t="s">
        <v>31</v>
      </c>
      <c r="F394" t="s">
        <v>38</v>
      </c>
      <c r="G394">
        <v>34</v>
      </c>
      <c r="H394">
        <v>106746</v>
      </c>
      <c r="I394">
        <v>0.05</v>
      </c>
      <c r="J394">
        <v>3447895.8</v>
      </c>
      <c r="K394">
        <v>442135.79</v>
      </c>
    </row>
    <row r="395" spans="1:11" x14ac:dyDescent="0.2">
      <c r="A395">
        <v>2393</v>
      </c>
      <c r="B395" s="4">
        <v>45320</v>
      </c>
      <c r="C395" t="s">
        <v>11</v>
      </c>
      <c r="D395" t="s">
        <v>22</v>
      </c>
      <c r="E395" t="s">
        <v>34</v>
      </c>
      <c r="F395" t="s">
        <v>38</v>
      </c>
      <c r="G395">
        <v>37</v>
      </c>
      <c r="H395">
        <v>212088</v>
      </c>
      <c r="I395">
        <v>0.05</v>
      </c>
      <c r="J395">
        <v>7454893.2000000002</v>
      </c>
      <c r="K395">
        <v>1769043.98</v>
      </c>
    </row>
    <row r="396" spans="1:11" x14ac:dyDescent="0.2">
      <c r="A396">
        <v>2394</v>
      </c>
      <c r="B396" s="4">
        <v>45321</v>
      </c>
      <c r="C396" t="s">
        <v>12</v>
      </c>
      <c r="D396" t="s">
        <v>21</v>
      </c>
      <c r="E396" t="s">
        <v>29</v>
      </c>
      <c r="F396" t="s">
        <v>38</v>
      </c>
      <c r="G396">
        <v>3</v>
      </c>
      <c r="H396">
        <v>61414</v>
      </c>
      <c r="I396">
        <v>0</v>
      </c>
      <c r="J396">
        <v>184242</v>
      </c>
      <c r="K396">
        <v>31754.38</v>
      </c>
    </row>
    <row r="397" spans="1:11" x14ac:dyDescent="0.2">
      <c r="A397">
        <v>2395</v>
      </c>
      <c r="B397" s="4">
        <v>45322</v>
      </c>
      <c r="C397" t="s">
        <v>15</v>
      </c>
      <c r="D397" t="s">
        <v>20</v>
      </c>
      <c r="E397" t="s">
        <v>24</v>
      </c>
      <c r="F397" t="s">
        <v>38</v>
      </c>
      <c r="G397">
        <v>16</v>
      </c>
      <c r="H397">
        <v>4165</v>
      </c>
      <c r="I397">
        <v>0.1</v>
      </c>
      <c r="J397">
        <v>59976</v>
      </c>
      <c r="K397">
        <v>9682.2900000000009</v>
      </c>
    </row>
    <row r="398" spans="1:11" x14ac:dyDescent="0.2">
      <c r="A398">
        <v>2396</v>
      </c>
      <c r="B398" s="4">
        <v>45323</v>
      </c>
      <c r="C398" t="s">
        <v>12</v>
      </c>
      <c r="D398" t="s">
        <v>19</v>
      </c>
      <c r="E398" t="s">
        <v>32</v>
      </c>
      <c r="F398" t="s">
        <v>37</v>
      </c>
      <c r="G398">
        <v>14</v>
      </c>
      <c r="H398">
        <v>417</v>
      </c>
      <c r="I398">
        <v>0</v>
      </c>
      <c r="J398">
        <v>5838</v>
      </c>
      <c r="K398">
        <v>1118.99</v>
      </c>
    </row>
    <row r="399" spans="1:11" x14ac:dyDescent="0.2">
      <c r="A399">
        <v>2397</v>
      </c>
      <c r="B399" s="4">
        <v>45324</v>
      </c>
      <c r="C399" t="s">
        <v>12</v>
      </c>
      <c r="D399" t="s">
        <v>21</v>
      </c>
      <c r="E399" t="s">
        <v>31</v>
      </c>
      <c r="F399" t="s">
        <v>38</v>
      </c>
      <c r="G399">
        <v>4</v>
      </c>
      <c r="H399">
        <v>75235</v>
      </c>
      <c r="I399">
        <v>0</v>
      </c>
      <c r="J399">
        <v>300940</v>
      </c>
      <c r="K399">
        <v>53991.040000000001</v>
      </c>
    </row>
    <row r="400" spans="1:11" x14ac:dyDescent="0.2">
      <c r="A400">
        <v>2398</v>
      </c>
      <c r="B400" s="4">
        <v>45325</v>
      </c>
      <c r="C400" t="s">
        <v>15</v>
      </c>
      <c r="D400" t="s">
        <v>21</v>
      </c>
      <c r="E400" t="s">
        <v>26</v>
      </c>
      <c r="F400" t="s">
        <v>37</v>
      </c>
      <c r="G400">
        <v>37</v>
      </c>
      <c r="H400">
        <v>142755</v>
      </c>
      <c r="I400">
        <v>0</v>
      </c>
      <c r="J400">
        <v>5281935</v>
      </c>
      <c r="K400">
        <v>810374.02</v>
      </c>
    </row>
    <row r="401" spans="1:11" x14ac:dyDescent="0.2">
      <c r="A401">
        <v>2399</v>
      </c>
      <c r="B401" s="4">
        <v>45326</v>
      </c>
      <c r="C401" t="s">
        <v>15</v>
      </c>
      <c r="D401" t="s">
        <v>19</v>
      </c>
      <c r="E401" t="s">
        <v>28</v>
      </c>
      <c r="F401" t="s">
        <v>37</v>
      </c>
      <c r="G401">
        <v>31</v>
      </c>
      <c r="H401">
        <v>355</v>
      </c>
      <c r="I401">
        <v>0.1</v>
      </c>
      <c r="J401">
        <v>9904.5</v>
      </c>
      <c r="K401">
        <v>1252.7</v>
      </c>
    </row>
    <row r="402" spans="1:11" x14ac:dyDescent="0.2">
      <c r="A402">
        <v>2400</v>
      </c>
      <c r="B402" s="4">
        <v>45327</v>
      </c>
      <c r="C402" t="s">
        <v>12</v>
      </c>
      <c r="D402" t="s">
        <v>20</v>
      </c>
      <c r="E402" t="s">
        <v>27</v>
      </c>
      <c r="F402" t="s">
        <v>36</v>
      </c>
      <c r="G402">
        <v>25</v>
      </c>
      <c r="H402">
        <v>6582</v>
      </c>
      <c r="I402">
        <v>0</v>
      </c>
      <c r="J402">
        <v>164550</v>
      </c>
      <c r="K402">
        <v>33975.230000000003</v>
      </c>
    </row>
    <row r="403" spans="1:11" x14ac:dyDescent="0.2">
      <c r="A403">
        <v>2401</v>
      </c>
      <c r="B403" s="4">
        <v>45328</v>
      </c>
      <c r="C403" t="s">
        <v>18</v>
      </c>
      <c r="D403" t="s">
        <v>22</v>
      </c>
      <c r="E403" t="s">
        <v>33</v>
      </c>
      <c r="F403" t="s">
        <v>36</v>
      </c>
      <c r="G403">
        <v>14</v>
      </c>
      <c r="H403">
        <v>225694</v>
      </c>
      <c r="I403">
        <v>0</v>
      </c>
      <c r="J403">
        <v>3159716</v>
      </c>
      <c r="K403">
        <v>729170.09</v>
      </c>
    </row>
    <row r="404" spans="1:11" x14ac:dyDescent="0.2">
      <c r="A404">
        <v>2402</v>
      </c>
      <c r="B404" s="4">
        <v>45329</v>
      </c>
      <c r="C404" t="s">
        <v>16</v>
      </c>
      <c r="D404" t="s">
        <v>22</v>
      </c>
      <c r="E404" t="s">
        <v>33</v>
      </c>
      <c r="F404" t="s">
        <v>38</v>
      </c>
      <c r="G404">
        <v>34</v>
      </c>
      <c r="H404">
        <v>194262</v>
      </c>
      <c r="I404">
        <v>0.1</v>
      </c>
      <c r="J404">
        <v>5944417.2000000002</v>
      </c>
      <c r="K404">
        <v>779930.71</v>
      </c>
    </row>
    <row r="405" spans="1:11" x14ac:dyDescent="0.2">
      <c r="A405">
        <v>2403</v>
      </c>
      <c r="B405" s="4">
        <v>45330</v>
      </c>
      <c r="C405" t="s">
        <v>17</v>
      </c>
      <c r="D405" t="s">
        <v>19</v>
      </c>
      <c r="E405" t="s">
        <v>25</v>
      </c>
      <c r="F405" t="s">
        <v>38</v>
      </c>
      <c r="G405">
        <v>32</v>
      </c>
      <c r="H405">
        <v>286</v>
      </c>
      <c r="I405">
        <v>0</v>
      </c>
      <c r="J405">
        <v>9152</v>
      </c>
      <c r="K405">
        <v>1641.8</v>
      </c>
    </row>
    <row r="406" spans="1:11" x14ac:dyDescent="0.2">
      <c r="A406">
        <v>2404</v>
      </c>
      <c r="B406" s="4">
        <v>45331</v>
      </c>
      <c r="C406" t="s">
        <v>15</v>
      </c>
      <c r="D406" t="s">
        <v>21</v>
      </c>
      <c r="E406" t="s">
        <v>31</v>
      </c>
      <c r="F406" t="s">
        <v>36</v>
      </c>
      <c r="G406">
        <v>3</v>
      </c>
      <c r="H406">
        <v>79238</v>
      </c>
      <c r="I406">
        <v>0.1</v>
      </c>
      <c r="J406">
        <v>213942.6</v>
      </c>
      <c r="K406">
        <v>42460.53</v>
      </c>
    </row>
    <row r="407" spans="1:11" x14ac:dyDescent="0.2">
      <c r="A407">
        <v>2405</v>
      </c>
      <c r="B407" s="4">
        <v>45332</v>
      </c>
      <c r="C407" t="s">
        <v>14</v>
      </c>
      <c r="D407" t="s">
        <v>19</v>
      </c>
      <c r="E407" t="s">
        <v>23</v>
      </c>
      <c r="F407" t="s">
        <v>37</v>
      </c>
      <c r="G407">
        <v>36</v>
      </c>
      <c r="H407">
        <v>600</v>
      </c>
      <c r="I407">
        <v>0</v>
      </c>
      <c r="J407">
        <v>21600</v>
      </c>
      <c r="K407">
        <v>4536.9799999999996</v>
      </c>
    </row>
    <row r="408" spans="1:11" x14ac:dyDescent="0.2">
      <c r="A408">
        <v>2406</v>
      </c>
      <c r="B408" s="4">
        <v>45333</v>
      </c>
      <c r="C408" t="s">
        <v>13</v>
      </c>
      <c r="D408" t="s">
        <v>19</v>
      </c>
      <c r="E408" t="s">
        <v>23</v>
      </c>
      <c r="F408" t="s">
        <v>36</v>
      </c>
      <c r="G408">
        <v>28</v>
      </c>
      <c r="H408">
        <v>451</v>
      </c>
      <c r="I408">
        <v>0.1</v>
      </c>
      <c r="J408">
        <v>11365.2</v>
      </c>
      <c r="K408">
        <v>1759.33</v>
      </c>
    </row>
    <row r="409" spans="1:11" x14ac:dyDescent="0.2">
      <c r="A409">
        <v>2407</v>
      </c>
      <c r="B409" s="4">
        <v>45334</v>
      </c>
      <c r="C409" t="s">
        <v>18</v>
      </c>
      <c r="D409" t="s">
        <v>22</v>
      </c>
      <c r="E409" t="s">
        <v>33</v>
      </c>
      <c r="F409" t="s">
        <v>37</v>
      </c>
      <c r="G409">
        <v>2</v>
      </c>
      <c r="H409">
        <v>159007</v>
      </c>
      <c r="I409">
        <v>0</v>
      </c>
      <c r="J409">
        <v>318014</v>
      </c>
      <c r="K409">
        <v>53448.4</v>
      </c>
    </row>
    <row r="410" spans="1:11" x14ac:dyDescent="0.2">
      <c r="A410">
        <v>2408</v>
      </c>
      <c r="B410" s="4">
        <v>45335</v>
      </c>
      <c r="C410" t="s">
        <v>11</v>
      </c>
      <c r="D410" t="s">
        <v>21</v>
      </c>
      <c r="E410" t="s">
        <v>26</v>
      </c>
      <c r="F410" t="s">
        <v>36</v>
      </c>
      <c r="G410">
        <v>17</v>
      </c>
      <c r="H410">
        <v>10074</v>
      </c>
      <c r="I410">
        <v>0</v>
      </c>
      <c r="J410">
        <v>171258</v>
      </c>
      <c r="K410">
        <v>27239.49</v>
      </c>
    </row>
    <row r="411" spans="1:11" x14ac:dyDescent="0.2">
      <c r="A411">
        <v>2409</v>
      </c>
      <c r="B411" s="4">
        <v>45336</v>
      </c>
      <c r="C411" t="s">
        <v>11</v>
      </c>
      <c r="D411" t="s">
        <v>19</v>
      </c>
      <c r="E411" t="s">
        <v>25</v>
      </c>
      <c r="F411" t="s">
        <v>36</v>
      </c>
      <c r="G411">
        <v>24</v>
      </c>
      <c r="H411">
        <v>521</v>
      </c>
      <c r="I411">
        <v>0.05</v>
      </c>
      <c r="J411">
        <v>11878.8</v>
      </c>
      <c r="K411">
        <v>2462.7199999999998</v>
      </c>
    </row>
    <row r="412" spans="1:11" x14ac:dyDescent="0.2">
      <c r="A412">
        <v>2410</v>
      </c>
      <c r="B412" s="4">
        <v>45337</v>
      </c>
      <c r="C412" t="s">
        <v>12</v>
      </c>
      <c r="D412" t="s">
        <v>21</v>
      </c>
      <c r="E412" t="s">
        <v>29</v>
      </c>
      <c r="F412" t="s">
        <v>38</v>
      </c>
      <c r="G412">
        <v>34</v>
      </c>
      <c r="H412">
        <v>47901</v>
      </c>
      <c r="I412">
        <v>0.1</v>
      </c>
      <c r="J412">
        <v>1465770.6</v>
      </c>
      <c r="K412">
        <v>214544.02</v>
      </c>
    </row>
    <row r="413" spans="1:11" x14ac:dyDescent="0.2">
      <c r="A413">
        <v>2411</v>
      </c>
      <c r="B413" s="4">
        <v>45338</v>
      </c>
      <c r="C413" t="s">
        <v>11</v>
      </c>
      <c r="D413" t="s">
        <v>21</v>
      </c>
      <c r="E413" t="s">
        <v>26</v>
      </c>
      <c r="F413" t="s">
        <v>36</v>
      </c>
      <c r="G413">
        <v>35</v>
      </c>
      <c r="H413">
        <v>35104</v>
      </c>
      <c r="I413">
        <v>0.1</v>
      </c>
      <c r="J413">
        <v>1105776</v>
      </c>
      <c r="K413">
        <v>215995.42</v>
      </c>
    </row>
    <row r="414" spans="1:11" x14ac:dyDescent="0.2">
      <c r="A414">
        <v>2412</v>
      </c>
      <c r="B414" s="4">
        <v>45339</v>
      </c>
      <c r="C414" t="s">
        <v>11</v>
      </c>
      <c r="D414" t="s">
        <v>20</v>
      </c>
      <c r="E414" t="s">
        <v>24</v>
      </c>
      <c r="F414" t="s">
        <v>36</v>
      </c>
      <c r="G414">
        <v>17</v>
      </c>
      <c r="H414">
        <v>3026</v>
      </c>
      <c r="I414">
        <v>0.05</v>
      </c>
      <c r="J414">
        <v>48869.9</v>
      </c>
      <c r="K414">
        <v>4624.1400000000003</v>
      </c>
    </row>
    <row r="415" spans="1:11" x14ac:dyDescent="0.2">
      <c r="A415">
        <v>2413</v>
      </c>
      <c r="B415" s="4">
        <v>45340</v>
      </c>
      <c r="C415" t="s">
        <v>16</v>
      </c>
      <c r="D415" t="s">
        <v>20</v>
      </c>
      <c r="E415" t="s">
        <v>24</v>
      </c>
      <c r="F415" t="s">
        <v>37</v>
      </c>
      <c r="G415">
        <v>1</v>
      </c>
      <c r="H415">
        <v>7436</v>
      </c>
      <c r="I415">
        <v>0</v>
      </c>
      <c r="J415">
        <v>7436</v>
      </c>
      <c r="K415">
        <v>921.73</v>
      </c>
    </row>
    <row r="416" spans="1:11" x14ac:dyDescent="0.2">
      <c r="A416">
        <v>2414</v>
      </c>
      <c r="B416" s="4">
        <v>45341</v>
      </c>
      <c r="C416" t="s">
        <v>18</v>
      </c>
      <c r="D416" t="s">
        <v>19</v>
      </c>
      <c r="E416" t="s">
        <v>23</v>
      </c>
      <c r="F416" t="s">
        <v>36</v>
      </c>
      <c r="G416">
        <v>2</v>
      </c>
      <c r="H416">
        <v>705</v>
      </c>
      <c r="I416">
        <v>0.1</v>
      </c>
      <c r="J416">
        <v>1269</v>
      </c>
      <c r="K416">
        <v>287.14</v>
      </c>
    </row>
    <row r="417" spans="1:11" x14ac:dyDescent="0.2">
      <c r="A417">
        <v>2415</v>
      </c>
      <c r="B417" s="4">
        <v>45342</v>
      </c>
      <c r="C417" t="s">
        <v>11</v>
      </c>
      <c r="D417" t="s">
        <v>19</v>
      </c>
      <c r="E417" t="s">
        <v>28</v>
      </c>
      <c r="F417" t="s">
        <v>38</v>
      </c>
      <c r="G417">
        <v>28</v>
      </c>
      <c r="H417">
        <v>752</v>
      </c>
      <c r="I417">
        <v>0.1</v>
      </c>
      <c r="J417">
        <v>18950.400000000001</v>
      </c>
      <c r="K417">
        <v>4574.8</v>
      </c>
    </row>
    <row r="418" spans="1:11" x14ac:dyDescent="0.2">
      <c r="A418">
        <v>2416</v>
      </c>
      <c r="B418" s="4">
        <v>45343</v>
      </c>
      <c r="C418" t="s">
        <v>15</v>
      </c>
      <c r="D418" t="s">
        <v>22</v>
      </c>
      <c r="E418" t="s">
        <v>30</v>
      </c>
      <c r="F418" t="s">
        <v>38</v>
      </c>
      <c r="G418">
        <v>27</v>
      </c>
      <c r="H418">
        <v>74393</v>
      </c>
      <c r="I418">
        <v>0.1</v>
      </c>
      <c r="J418">
        <v>1807749.9</v>
      </c>
      <c r="K418">
        <v>323887.87</v>
      </c>
    </row>
    <row r="419" spans="1:11" x14ac:dyDescent="0.2">
      <c r="A419">
        <v>2417</v>
      </c>
      <c r="B419" s="4">
        <v>45344</v>
      </c>
      <c r="C419" t="s">
        <v>11</v>
      </c>
      <c r="D419" t="s">
        <v>20</v>
      </c>
      <c r="E419" t="s">
        <v>27</v>
      </c>
      <c r="F419" t="s">
        <v>36</v>
      </c>
      <c r="G419">
        <v>26</v>
      </c>
      <c r="H419">
        <v>7709</v>
      </c>
      <c r="I419">
        <v>0.05</v>
      </c>
      <c r="J419">
        <v>190412.3</v>
      </c>
      <c r="K419">
        <v>26810.2</v>
      </c>
    </row>
    <row r="420" spans="1:11" x14ac:dyDescent="0.2">
      <c r="A420">
        <v>2418</v>
      </c>
      <c r="B420" s="4">
        <v>45345</v>
      </c>
      <c r="C420" t="s">
        <v>15</v>
      </c>
      <c r="D420" t="s">
        <v>19</v>
      </c>
      <c r="E420" t="s">
        <v>32</v>
      </c>
      <c r="F420" t="s">
        <v>37</v>
      </c>
      <c r="G420">
        <v>12</v>
      </c>
      <c r="H420">
        <v>800</v>
      </c>
      <c r="I420">
        <v>0.1</v>
      </c>
      <c r="J420">
        <v>8640</v>
      </c>
      <c r="K420">
        <v>1405.32</v>
      </c>
    </row>
    <row r="421" spans="1:11" x14ac:dyDescent="0.2">
      <c r="A421">
        <v>2419</v>
      </c>
      <c r="B421" s="4">
        <v>45346</v>
      </c>
      <c r="C421" t="s">
        <v>11</v>
      </c>
      <c r="D421" t="s">
        <v>22</v>
      </c>
      <c r="E421" t="s">
        <v>34</v>
      </c>
      <c r="F421" t="s">
        <v>38</v>
      </c>
      <c r="G421">
        <v>20</v>
      </c>
      <c r="H421">
        <v>120405</v>
      </c>
      <c r="I421">
        <v>0.1</v>
      </c>
      <c r="J421">
        <v>2167290</v>
      </c>
      <c r="K421">
        <v>433408.81</v>
      </c>
    </row>
    <row r="422" spans="1:11" x14ac:dyDescent="0.2">
      <c r="A422">
        <v>2420</v>
      </c>
      <c r="B422" s="4">
        <v>45347</v>
      </c>
      <c r="C422" t="s">
        <v>16</v>
      </c>
      <c r="D422" t="s">
        <v>19</v>
      </c>
      <c r="E422" t="s">
        <v>23</v>
      </c>
      <c r="F422" t="s">
        <v>38</v>
      </c>
      <c r="G422">
        <v>39</v>
      </c>
      <c r="H422">
        <v>672</v>
      </c>
      <c r="I422">
        <v>0</v>
      </c>
      <c r="J422">
        <v>26208</v>
      </c>
      <c r="K422">
        <v>5286.1</v>
      </c>
    </row>
    <row r="423" spans="1:11" x14ac:dyDescent="0.2">
      <c r="A423">
        <v>2421</v>
      </c>
      <c r="B423" s="4">
        <v>45348</v>
      </c>
      <c r="C423" t="s">
        <v>18</v>
      </c>
      <c r="D423" t="s">
        <v>22</v>
      </c>
      <c r="E423" t="s">
        <v>30</v>
      </c>
      <c r="F423" t="s">
        <v>38</v>
      </c>
      <c r="G423">
        <v>26</v>
      </c>
      <c r="H423">
        <v>242785</v>
      </c>
      <c r="I423">
        <v>0</v>
      </c>
      <c r="J423">
        <v>6312410</v>
      </c>
      <c r="K423">
        <v>1285062.6299999999</v>
      </c>
    </row>
    <row r="424" spans="1:11" x14ac:dyDescent="0.2">
      <c r="A424">
        <v>2422</v>
      </c>
      <c r="B424" s="4">
        <v>45349</v>
      </c>
      <c r="C424" t="s">
        <v>12</v>
      </c>
      <c r="D424" t="s">
        <v>19</v>
      </c>
      <c r="E424" t="s">
        <v>23</v>
      </c>
      <c r="F424" t="s">
        <v>37</v>
      </c>
      <c r="G424">
        <v>37</v>
      </c>
      <c r="H424">
        <v>379</v>
      </c>
      <c r="I424">
        <v>0.1</v>
      </c>
      <c r="J424">
        <v>12620.7</v>
      </c>
      <c r="K424">
        <v>1197.19</v>
      </c>
    </row>
    <row r="425" spans="1:11" x14ac:dyDescent="0.2">
      <c r="A425">
        <v>2423</v>
      </c>
      <c r="B425" s="4">
        <v>45350</v>
      </c>
      <c r="C425" t="s">
        <v>14</v>
      </c>
      <c r="D425" t="s">
        <v>20</v>
      </c>
      <c r="E425" t="s">
        <v>24</v>
      </c>
      <c r="F425" t="s">
        <v>38</v>
      </c>
      <c r="G425">
        <v>32</v>
      </c>
      <c r="H425">
        <v>7381</v>
      </c>
      <c r="I425">
        <v>0</v>
      </c>
      <c r="J425">
        <v>236192</v>
      </c>
      <c r="K425">
        <v>57882.06</v>
      </c>
    </row>
    <row r="426" spans="1:11" x14ac:dyDescent="0.2">
      <c r="A426">
        <v>2424</v>
      </c>
      <c r="B426" s="4">
        <v>45351</v>
      </c>
      <c r="C426" t="s">
        <v>18</v>
      </c>
      <c r="D426" t="s">
        <v>22</v>
      </c>
      <c r="E426" t="s">
        <v>30</v>
      </c>
      <c r="F426" t="s">
        <v>38</v>
      </c>
      <c r="G426">
        <v>20</v>
      </c>
      <c r="H426">
        <v>118474</v>
      </c>
      <c r="I426">
        <v>0.05</v>
      </c>
      <c r="J426">
        <v>2251006</v>
      </c>
      <c r="K426">
        <v>294286.64</v>
      </c>
    </row>
    <row r="427" spans="1:11" x14ac:dyDescent="0.2">
      <c r="A427">
        <v>2425</v>
      </c>
      <c r="B427" s="4">
        <v>45352</v>
      </c>
      <c r="C427" t="s">
        <v>16</v>
      </c>
      <c r="D427" t="s">
        <v>21</v>
      </c>
      <c r="E427" t="s">
        <v>31</v>
      </c>
      <c r="F427" t="s">
        <v>38</v>
      </c>
      <c r="G427">
        <v>16</v>
      </c>
      <c r="H427">
        <v>122888</v>
      </c>
      <c r="I427">
        <v>0.1</v>
      </c>
      <c r="J427">
        <v>1769587.2</v>
      </c>
      <c r="K427">
        <v>161675.73000000001</v>
      </c>
    </row>
    <row r="428" spans="1:11" x14ac:dyDescent="0.2">
      <c r="A428">
        <v>2426</v>
      </c>
      <c r="B428" s="4">
        <v>45353</v>
      </c>
      <c r="C428" t="s">
        <v>12</v>
      </c>
      <c r="D428" t="s">
        <v>20</v>
      </c>
      <c r="E428" t="s">
        <v>27</v>
      </c>
      <c r="F428" t="s">
        <v>37</v>
      </c>
      <c r="G428">
        <v>18</v>
      </c>
      <c r="H428">
        <v>3757</v>
      </c>
      <c r="I428">
        <v>0.1</v>
      </c>
      <c r="J428">
        <v>60863.4</v>
      </c>
      <c r="K428">
        <v>10506.94</v>
      </c>
    </row>
    <row r="429" spans="1:11" x14ac:dyDescent="0.2">
      <c r="A429">
        <v>2427</v>
      </c>
      <c r="B429" s="4">
        <v>45354</v>
      </c>
      <c r="C429" t="s">
        <v>17</v>
      </c>
      <c r="D429" t="s">
        <v>22</v>
      </c>
      <c r="E429" t="s">
        <v>30</v>
      </c>
      <c r="F429" t="s">
        <v>38</v>
      </c>
      <c r="G429">
        <v>14</v>
      </c>
      <c r="H429">
        <v>122394</v>
      </c>
      <c r="I429">
        <v>0</v>
      </c>
      <c r="J429">
        <v>1713516</v>
      </c>
      <c r="K429">
        <v>326599.58</v>
      </c>
    </row>
    <row r="430" spans="1:11" x14ac:dyDescent="0.2">
      <c r="A430">
        <v>2428</v>
      </c>
      <c r="B430" s="4">
        <v>45355</v>
      </c>
      <c r="C430" t="s">
        <v>17</v>
      </c>
      <c r="D430" t="s">
        <v>22</v>
      </c>
      <c r="E430" t="s">
        <v>34</v>
      </c>
      <c r="F430" t="s">
        <v>36</v>
      </c>
      <c r="G430">
        <v>14</v>
      </c>
      <c r="H430">
        <v>200262</v>
      </c>
      <c r="I430">
        <v>0.05</v>
      </c>
      <c r="J430">
        <v>2663484.6</v>
      </c>
      <c r="K430">
        <v>465966.42</v>
      </c>
    </row>
    <row r="431" spans="1:11" x14ac:dyDescent="0.2">
      <c r="A431">
        <v>2429</v>
      </c>
      <c r="B431" s="4">
        <v>45356</v>
      </c>
      <c r="C431" t="s">
        <v>16</v>
      </c>
      <c r="D431" t="s">
        <v>22</v>
      </c>
      <c r="E431" t="s">
        <v>33</v>
      </c>
      <c r="F431" t="s">
        <v>37</v>
      </c>
      <c r="G431">
        <v>36</v>
      </c>
      <c r="H431">
        <v>219260</v>
      </c>
      <c r="I431">
        <v>0.05</v>
      </c>
      <c r="J431">
        <v>7498692</v>
      </c>
      <c r="K431">
        <v>1099867.23</v>
      </c>
    </row>
    <row r="432" spans="1:11" x14ac:dyDescent="0.2">
      <c r="A432">
        <v>2430</v>
      </c>
      <c r="B432" s="4">
        <v>45357</v>
      </c>
      <c r="C432" t="s">
        <v>13</v>
      </c>
      <c r="D432" t="s">
        <v>21</v>
      </c>
      <c r="E432" t="s">
        <v>26</v>
      </c>
      <c r="F432" t="s">
        <v>37</v>
      </c>
      <c r="G432">
        <v>34</v>
      </c>
      <c r="H432">
        <v>144988</v>
      </c>
      <c r="I432">
        <v>0.05</v>
      </c>
      <c r="J432">
        <v>4683112.4000000004</v>
      </c>
      <c r="K432">
        <v>1131184.6499999999</v>
      </c>
    </row>
    <row r="433" spans="1:11" x14ac:dyDescent="0.2">
      <c r="A433">
        <v>2431</v>
      </c>
      <c r="B433" s="4">
        <v>45358</v>
      </c>
      <c r="C433" t="s">
        <v>16</v>
      </c>
      <c r="D433" t="s">
        <v>19</v>
      </c>
      <c r="E433" t="s">
        <v>28</v>
      </c>
      <c r="F433" t="s">
        <v>36</v>
      </c>
      <c r="G433">
        <v>25</v>
      </c>
      <c r="H433">
        <v>622</v>
      </c>
      <c r="I433">
        <v>0.05</v>
      </c>
      <c r="J433">
        <v>14772.5</v>
      </c>
      <c r="K433">
        <v>3192</v>
      </c>
    </row>
    <row r="434" spans="1:11" x14ac:dyDescent="0.2">
      <c r="A434">
        <v>2432</v>
      </c>
      <c r="B434" s="4">
        <v>45359</v>
      </c>
      <c r="C434" t="s">
        <v>11</v>
      </c>
      <c r="D434" t="s">
        <v>22</v>
      </c>
      <c r="E434" t="s">
        <v>33</v>
      </c>
      <c r="F434" t="s">
        <v>36</v>
      </c>
      <c r="G434">
        <v>30</v>
      </c>
      <c r="H434">
        <v>38907</v>
      </c>
      <c r="I434">
        <v>0.05</v>
      </c>
      <c r="J434">
        <v>1108849.5</v>
      </c>
      <c r="K434">
        <v>238704.78</v>
      </c>
    </row>
    <row r="435" spans="1:11" x14ac:dyDescent="0.2">
      <c r="A435">
        <v>2433</v>
      </c>
      <c r="B435" s="4">
        <v>45360</v>
      </c>
      <c r="C435" t="s">
        <v>18</v>
      </c>
      <c r="D435" t="s">
        <v>22</v>
      </c>
      <c r="E435" t="s">
        <v>30</v>
      </c>
      <c r="F435" t="s">
        <v>37</v>
      </c>
      <c r="G435">
        <v>39</v>
      </c>
      <c r="H435">
        <v>98320</v>
      </c>
      <c r="I435">
        <v>0.05</v>
      </c>
      <c r="J435">
        <v>3642756</v>
      </c>
      <c r="K435">
        <v>606202.54</v>
      </c>
    </row>
    <row r="436" spans="1:11" x14ac:dyDescent="0.2">
      <c r="A436">
        <v>2434</v>
      </c>
      <c r="B436" s="4">
        <v>45361</v>
      </c>
      <c r="C436" t="s">
        <v>14</v>
      </c>
      <c r="D436" t="s">
        <v>20</v>
      </c>
      <c r="E436" t="s">
        <v>24</v>
      </c>
      <c r="F436" t="s">
        <v>36</v>
      </c>
      <c r="G436">
        <v>40</v>
      </c>
      <c r="H436">
        <v>4697</v>
      </c>
      <c r="I436">
        <v>0.05</v>
      </c>
      <c r="J436">
        <v>178486</v>
      </c>
      <c r="K436">
        <v>41314.230000000003</v>
      </c>
    </row>
    <row r="437" spans="1:11" x14ac:dyDescent="0.2">
      <c r="A437">
        <v>2435</v>
      </c>
      <c r="B437" s="4">
        <v>45362</v>
      </c>
      <c r="C437" t="s">
        <v>16</v>
      </c>
      <c r="D437" t="s">
        <v>19</v>
      </c>
      <c r="E437" t="s">
        <v>23</v>
      </c>
      <c r="F437" t="s">
        <v>38</v>
      </c>
      <c r="G437">
        <v>24</v>
      </c>
      <c r="H437">
        <v>176</v>
      </c>
      <c r="I437">
        <v>0.1</v>
      </c>
      <c r="J437">
        <v>3801.6</v>
      </c>
      <c r="K437">
        <v>797.67</v>
      </c>
    </row>
    <row r="438" spans="1:11" x14ac:dyDescent="0.2">
      <c r="A438">
        <v>2436</v>
      </c>
      <c r="B438" s="4">
        <v>45363</v>
      </c>
      <c r="C438" t="s">
        <v>15</v>
      </c>
      <c r="D438" t="s">
        <v>20</v>
      </c>
      <c r="E438" t="s">
        <v>27</v>
      </c>
      <c r="F438" t="s">
        <v>38</v>
      </c>
      <c r="G438">
        <v>36</v>
      </c>
      <c r="H438">
        <v>3332</v>
      </c>
      <c r="I438">
        <v>0</v>
      </c>
      <c r="J438">
        <v>119952</v>
      </c>
      <c r="K438">
        <v>15560.56</v>
      </c>
    </row>
    <row r="439" spans="1:11" x14ac:dyDescent="0.2">
      <c r="A439">
        <v>2437</v>
      </c>
      <c r="B439" s="4">
        <v>45364</v>
      </c>
      <c r="C439" t="s">
        <v>16</v>
      </c>
      <c r="D439" t="s">
        <v>19</v>
      </c>
      <c r="E439" t="s">
        <v>35</v>
      </c>
      <c r="F439" t="s">
        <v>36</v>
      </c>
      <c r="G439">
        <v>40</v>
      </c>
      <c r="H439">
        <v>362</v>
      </c>
      <c r="I439">
        <v>0.05</v>
      </c>
      <c r="J439">
        <v>13756</v>
      </c>
      <c r="K439">
        <v>2162.88</v>
      </c>
    </row>
    <row r="440" spans="1:11" x14ac:dyDescent="0.2">
      <c r="A440">
        <v>2438</v>
      </c>
      <c r="B440" s="4">
        <v>45365</v>
      </c>
      <c r="C440" t="s">
        <v>16</v>
      </c>
      <c r="D440" t="s">
        <v>21</v>
      </c>
      <c r="E440" t="s">
        <v>29</v>
      </c>
      <c r="F440" t="s">
        <v>37</v>
      </c>
      <c r="G440">
        <v>17</v>
      </c>
      <c r="H440">
        <v>49901</v>
      </c>
      <c r="I440">
        <v>0</v>
      </c>
      <c r="J440">
        <v>848317</v>
      </c>
      <c r="K440">
        <v>81855.83</v>
      </c>
    </row>
    <row r="441" spans="1:11" x14ac:dyDescent="0.2">
      <c r="A441">
        <v>2439</v>
      </c>
      <c r="B441" s="4">
        <v>45366</v>
      </c>
      <c r="C441" t="s">
        <v>13</v>
      </c>
      <c r="D441" t="s">
        <v>20</v>
      </c>
      <c r="E441" t="s">
        <v>27</v>
      </c>
      <c r="F441" t="s">
        <v>36</v>
      </c>
      <c r="G441">
        <v>7</v>
      </c>
      <c r="H441">
        <v>6315</v>
      </c>
      <c r="I441">
        <v>0</v>
      </c>
      <c r="J441">
        <v>44205</v>
      </c>
      <c r="K441">
        <v>7876.64</v>
      </c>
    </row>
    <row r="442" spans="1:11" x14ac:dyDescent="0.2">
      <c r="A442">
        <v>2440</v>
      </c>
      <c r="B442" s="4">
        <v>45367</v>
      </c>
      <c r="C442" t="s">
        <v>15</v>
      </c>
      <c r="D442" t="s">
        <v>20</v>
      </c>
      <c r="E442" t="s">
        <v>24</v>
      </c>
      <c r="F442" t="s">
        <v>36</v>
      </c>
      <c r="G442">
        <v>22</v>
      </c>
      <c r="H442">
        <v>7590</v>
      </c>
      <c r="I442">
        <v>0</v>
      </c>
      <c r="J442">
        <v>166980</v>
      </c>
      <c r="K442">
        <v>23335.46</v>
      </c>
    </row>
    <row r="443" spans="1:11" x14ac:dyDescent="0.2">
      <c r="A443">
        <v>2441</v>
      </c>
      <c r="B443" s="4">
        <v>45368</v>
      </c>
      <c r="C443" t="s">
        <v>14</v>
      </c>
      <c r="D443" t="s">
        <v>22</v>
      </c>
      <c r="E443" t="s">
        <v>30</v>
      </c>
      <c r="F443" t="s">
        <v>38</v>
      </c>
      <c r="G443">
        <v>18</v>
      </c>
      <c r="H443">
        <v>35648</v>
      </c>
      <c r="I443">
        <v>0.05</v>
      </c>
      <c r="J443">
        <v>609580.80000000005</v>
      </c>
      <c r="K443">
        <v>100358.3</v>
      </c>
    </row>
    <row r="444" spans="1:11" x14ac:dyDescent="0.2">
      <c r="A444">
        <v>2442</v>
      </c>
      <c r="B444" s="4">
        <v>45369</v>
      </c>
      <c r="C444" t="s">
        <v>14</v>
      </c>
      <c r="D444" t="s">
        <v>21</v>
      </c>
      <c r="E444" t="s">
        <v>26</v>
      </c>
      <c r="F444" t="s">
        <v>36</v>
      </c>
      <c r="G444">
        <v>14</v>
      </c>
      <c r="H444">
        <v>79860</v>
      </c>
      <c r="I444">
        <v>0</v>
      </c>
      <c r="J444">
        <v>1118040</v>
      </c>
      <c r="K444">
        <v>218310.48</v>
      </c>
    </row>
    <row r="445" spans="1:11" x14ac:dyDescent="0.2">
      <c r="A445">
        <v>2443</v>
      </c>
      <c r="B445" s="4">
        <v>45370</v>
      </c>
      <c r="C445" t="s">
        <v>12</v>
      </c>
      <c r="D445" t="s">
        <v>19</v>
      </c>
      <c r="E445" t="s">
        <v>32</v>
      </c>
      <c r="F445" t="s">
        <v>36</v>
      </c>
      <c r="G445">
        <v>26</v>
      </c>
      <c r="H445">
        <v>429</v>
      </c>
      <c r="I445">
        <v>0.1</v>
      </c>
      <c r="J445">
        <v>10038.6</v>
      </c>
      <c r="K445">
        <v>1730.66</v>
      </c>
    </row>
    <row r="446" spans="1:11" x14ac:dyDescent="0.2">
      <c r="A446">
        <v>2444</v>
      </c>
      <c r="B446" s="4">
        <v>45371</v>
      </c>
      <c r="C446" t="s">
        <v>12</v>
      </c>
      <c r="D446" t="s">
        <v>21</v>
      </c>
      <c r="E446" t="s">
        <v>26</v>
      </c>
      <c r="F446" t="s">
        <v>36</v>
      </c>
      <c r="G446">
        <v>32</v>
      </c>
      <c r="H446">
        <v>119061</v>
      </c>
      <c r="I446">
        <v>0.1</v>
      </c>
      <c r="J446">
        <v>3428956.8</v>
      </c>
      <c r="K446">
        <v>676590.36</v>
      </c>
    </row>
    <row r="447" spans="1:11" x14ac:dyDescent="0.2">
      <c r="A447">
        <v>2445</v>
      </c>
      <c r="B447" s="4">
        <v>45372</v>
      </c>
      <c r="C447" t="s">
        <v>16</v>
      </c>
      <c r="D447" t="s">
        <v>22</v>
      </c>
      <c r="E447" t="s">
        <v>30</v>
      </c>
      <c r="F447" t="s">
        <v>38</v>
      </c>
      <c r="G447">
        <v>16</v>
      </c>
      <c r="H447">
        <v>22723</v>
      </c>
      <c r="I447">
        <v>0.05</v>
      </c>
      <c r="J447">
        <v>345389.6</v>
      </c>
      <c r="K447">
        <v>30502.44</v>
      </c>
    </row>
    <row r="448" spans="1:11" x14ac:dyDescent="0.2">
      <c r="A448">
        <v>2446</v>
      </c>
      <c r="B448" s="4">
        <v>45373</v>
      </c>
      <c r="C448" t="s">
        <v>16</v>
      </c>
      <c r="D448" t="s">
        <v>21</v>
      </c>
      <c r="E448" t="s">
        <v>29</v>
      </c>
      <c r="F448" t="s">
        <v>36</v>
      </c>
      <c r="G448">
        <v>4</v>
      </c>
      <c r="H448">
        <v>103904</v>
      </c>
      <c r="I448">
        <v>0.1</v>
      </c>
      <c r="J448">
        <v>374054.40000000002</v>
      </c>
      <c r="K448">
        <v>48807.28</v>
      </c>
    </row>
    <row r="449" spans="1:11" x14ac:dyDescent="0.2">
      <c r="A449">
        <v>2447</v>
      </c>
      <c r="B449" s="4">
        <v>45374</v>
      </c>
      <c r="C449" t="s">
        <v>14</v>
      </c>
      <c r="D449" t="s">
        <v>20</v>
      </c>
      <c r="E449" t="s">
        <v>24</v>
      </c>
      <c r="F449" t="s">
        <v>38</v>
      </c>
      <c r="G449">
        <v>22</v>
      </c>
      <c r="H449">
        <v>5006</v>
      </c>
      <c r="I449">
        <v>0.05</v>
      </c>
      <c r="J449">
        <v>104625.4</v>
      </c>
      <c r="K449">
        <v>11444.76</v>
      </c>
    </row>
    <row r="450" spans="1:11" x14ac:dyDescent="0.2">
      <c r="A450">
        <v>2448</v>
      </c>
      <c r="B450" s="4">
        <v>45375</v>
      </c>
      <c r="C450" t="s">
        <v>16</v>
      </c>
      <c r="D450" t="s">
        <v>19</v>
      </c>
      <c r="E450" t="s">
        <v>23</v>
      </c>
      <c r="F450" t="s">
        <v>37</v>
      </c>
      <c r="G450">
        <v>35</v>
      </c>
      <c r="H450">
        <v>633</v>
      </c>
      <c r="I450">
        <v>0.05</v>
      </c>
      <c r="J450">
        <v>21047.25</v>
      </c>
      <c r="K450">
        <v>4835.32</v>
      </c>
    </row>
    <row r="451" spans="1:11" x14ac:dyDescent="0.2">
      <c r="A451">
        <v>2449</v>
      </c>
      <c r="B451" s="4">
        <v>45376</v>
      </c>
      <c r="C451" t="s">
        <v>14</v>
      </c>
      <c r="D451" t="s">
        <v>21</v>
      </c>
      <c r="E451" t="s">
        <v>31</v>
      </c>
      <c r="F451" t="s">
        <v>37</v>
      </c>
      <c r="G451">
        <v>31</v>
      </c>
      <c r="H451">
        <v>142585</v>
      </c>
      <c r="I451">
        <v>0.05</v>
      </c>
      <c r="J451">
        <v>4199128.25</v>
      </c>
      <c r="K451">
        <v>794066.82</v>
      </c>
    </row>
    <row r="452" spans="1:11" x14ac:dyDescent="0.2">
      <c r="A452">
        <v>2450</v>
      </c>
      <c r="B452" s="4">
        <v>45377</v>
      </c>
      <c r="C452" t="s">
        <v>17</v>
      </c>
      <c r="D452" t="s">
        <v>22</v>
      </c>
      <c r="E452" t="s">
        <v>30</v>
      </c>
      <c r="F452" t="s">
        <v>38</v>
      </c>
      <c r="G452">
        <v>13</v>
      </c>
      <c r="H452">
        <v>63877</v>
      </c>
      <c r="I452">
        <v>0.05</v>
      </c>
      <c r="J452">
        <v>788880.95</v>
      </c>
      <c r="K452">
        <v>66335.460000000006</v>
      </c>
    </row>
    <row r="453" spans="1:11" x14ac:dyDescent="0.2">
      <c r="A453">
        <v>2451</v>
      </c>
      <c r="B453" s="4">
        <v>45378</v>
      </c>
      <c r="C453" t="s">
        <v>17</v>
      </c>
      <c r="D453" t="s">
        <v>22</v>
      </c>
      <c r="E453" t="s">
        <v>30</v>
      </c>
      <c r="F453" t="s">
        <v>37</v>
      </c>
      <c r="G453">
        <v>21</v>
      </c>
      <c r="H453">
        <v>194633</v>
      </c>
      <c r="I453">
        <v>0</v>
      </c>
      <c r="J453">
        <v>4087293</v>
      </c>
      <c r="K453">
        <v>958560.92</v>
      </c>
    </row>
    <row r="454" spans="1:11" x14ac:dyDescent="0.2">
      <c r="A454">
        <v>2452</v>
      </c>
      <c r="B454" s="4">
        <v>45379</v>
      </c>
      <c r="C454" t="s">
        <v>11</v>
      </c>
      <c r="D454" t="s">
        <v>19</v>
      </c>
      <c r="E454" t="s">
        <v>23</v>
      </c>
      <c r="F454" t="s">
        <v>36</v>
      </c>
      <c r="G454">
        <v>10</v>
      </c>
      <c r="H454">
        <v>202</v>
      </c>
      <c r="I454">
        <v>0</v>
      </c>
      <c r="J454">
        <v>2020</v>
      </c>
      <c r="K454">
        <v>385.97</v>
      </c>
    </row>
    <row r="455" spans="1:11" x14ac:dyDescent="0.2">
      <c r="A455">
        <v>2453</v>
      </c>
      <c r="B455" s="4">
        <v>45380</v>
      </c>
      <c r="C455" t="s">
        <v>15</v>
      </c>
      <c r="D455" t="s">
        <v>21</v>
      </c>
      <c r="E455" t="s">
        <v>26</v>
      </c>
      <c r="F455" t="s">
        <v>38</v>
      </c>
      <c r="G455">
        <v>39</v>
      </c>
      <c r="H455">
        <v>69229</v>
      </c>
      <c r="I455">
        <v>0.1</v>
      </c>
      <c r="J455">
        <v>2429937.9</v>
      </c>
      <c r="K455">
        <v>529484.71</v>
      </c>
    </row>
    <row r="456" spans="1:11" x14ac:dyDescent="0.2">
      <c r="A456">
        <v>2454</v>
      </c>
      <c r="B456" s="4">
        <v>45381</v>
      </c>
      <c r="C456" t="s">
        <v>17</v>
      </c>
      <c r="D456" t="s">
        <v>20</v>
      </c>
      <c r="E456" t="s">
        <v>27</v>
      </c>
      <c r="F456" t="s">
        <v>36</v>
      </c>
      <c r="G456">
        <v>34</v>
      </c>
      <c r="H456">
        <v>7480</v>
      </c>
      <c r="I456">
        <v>0</v>
      </c>
      <c r="J456">
        <v>254320</v>
      </c>
      <c r="K456">
        <v>30398.58</v>
      </c>
    </row>
    <row r="457" spans="1:11" x14ac:dyDescent="0.2">
      <c r="A457">
        <v>2455</v>
      </c>
      <c r="B457" s="4">
        <v>45382</v>
      </c>
      <c r="C457" t="s">
        <v>17</v>
      </c>
      <c r="D457" t="s">
        <v>22</v>
      </c>
      <c r="E457" t="s">
        <v>34</v>
      </c>
      <c r="F457" t="s">
        <v>36</v>
      </c>
      <c r="G457">
        <v>37</v>
      </c>
      <c r="H457">
        <v>176999</v>
      </c>
      <c r="I457">
        <v>0.1</v>
      </c>
      <c r="J457">
        <v>5894066.7000000002</v>
      </c>
      <c r="K457">
        <v>1422948.89</v>
      </c>
    </row>
    <row r="458" spans="1:11" x14ac:dyDescent="0.2">
      <c r="A458">
        <v>2456</v>
      </c>
      <c r="B458" s="4">
        <v>45383</v>
      </c>
      <c r="C458" t="s">
        <v>11</v>
      </c>
      <c r="D458" t="s">
        <v>19</v>
      </c>
      <c r="E458" t="s">
        <v>35</v>
      </c>
      <c r="F458" t="s">
        <v>37</v>
      </c>
      <c r="G458">
        <v>20</v>
      </c>
      <c r="H458">
        <v>642</v>
      </c>
      <c r="I458">
        <v>0</v>
      </c>
      <c r="J458">
        <v>12840</v>
      </c>
      <c r="K458">
        <v>1453.22</v>
      </c>
    </row>
    <row r="459" spans="1:11" x14ac:dyDescent="0.2">
      <c r="A459">
        <v>2457</v>
      </c>
      <c r="B459" s="4">
        <v>45384</v>
      </c>
      <c r="C459" t="s">
        <v>17</v>
      </c>
      <c r="D459" t="s">
        <v>20</v>
      </c>
      <c r="E459" t="s">
        <v>27</v>
      </c>
      <c r="F459" t="s">
        <v>38</v>
      </c>
      <c r="G459">
        <v>26</v>
      </c>
      <c r="H459">
        <v>5732</v>
      </c>
      <c r="I459">
        <v>0</v>
      </c>
      <c r="J459">
        <v>149032</v>
      </c>
      <c r="K459">
        <v>19871.32</v>
      </c>
    </row>
    <row r="460" spans="1:11" x14ac:dyDescent="0.2">
      <c r="A460">
        <v>2458</v>
      </c>
      <c r="B460" s="4">
        <v>45385</v>
      </c>
      <c r="C460" t="s">
        <v>17</v>
      </c>
      <c r="D460" t="s">
        <v>21</v>
      </c>
      <c r="E460" t="s">
        <v>26</v>
      </c>
      <c r="F460" t="s">
        <v>36</v>
      </c>
      <c r="G460">
        <v>15</v>
      </c>
      <c r="H460">
        <v>98390</v>
      </c>
      <c r="I460">
        <v>0.1</v>
      </c>
      <c r="J460">
        <v>1328265</v>
      </c>
      <c r="K460">
        <v>181961.68</v>
      </c>
    </row>
    <row r="461" spans="1:11" x14ac:dyDescent="0.2">
      <c r="A461">
        <v>2459</v>
      </c>
      <c r="B461" s="4">
        <v>45386</v>
      </c>
      <c r="C461" t="s">
        <v>16</v>
      </c>
      <c r="D461" t="s">
        <v>20</v>
      </c>
      <c r="E461" t="s">
        <v>24</v>
      </c>
      <c r="F461" t="s">
        <v>36</v>
      </c>
      <c r="G461">
        <v>38</v>
      </c>
      <c r="H461">
        <v>4098</v>
      </c>
      <c r="I461">
        <v>0.05</v>
      </c>
      <c r="J461">
        <v>147937.79999999999</v>
      </c>
      <c r="K461">
        <v>35053.78</v>
      </c>
    </row>
    <row r="462" spans="1:11" x14ac:dyDescent="0.2">
      <c r="A462">
        <v>2460</v>
      </c>
      <c r="B462" s="4">
        <v>45387</v>
      </c>
      <c r="C462" t="s">
        <v>13</v>
      </c>
      <c r="D462" t="s">
        <v>21</v>
      </c>
      <c r="E462" t="s">
        <v>31</v>
      </c>
      <c r="F462" t="s">
        <v>36</v>
      </c>
      <c r="G462">
        <v>9</v>
      </c>
      <c r="H462">
        <v>111122</v>
      </c>
      <c r="I462">
        <v>0.05</v>
      </c>
      <c r="J462">
        <v>950093.1</v>
      </c>
      <c r="K462">
        <v>215752.85</v>
      </c>
    </row>
    <row r="463" spans="1:11" x14ac:dyDescent="0.2">
      <c r="A463">
        <v>2461</v>
      </c>
      <c r="B463" s="4">
        <v>45388</v>
      </c>
      <c r="C463" t="s">
        <v>15</v>
      </c>
      <c r="D463" t="s">
        <v>22</v>
      </c>
      <c r="E463" t="s">
        <v>30</v>
      </c>
      <c r="F463" t="s">
        <v>36</v>
      </c>
      <c r="G463">
        <v>3</v>
      </c>
      <c r="H463">
        <v>60092</v>
      </c>
      <c r="I463">
        <v>0.1</v>
      </c>
      <c r="J463">
        <v>162248.4</v>
      </c>
      <c r="K463">
        <v>14664.13</v>
      </c>
    </row>
    <row r="464" spans="1:11" x14ac:dyDescent="0.2">
      <c r="A464">
        <v>2462</v>
      </c>
      <c r="B464" s="4">
        <v>45389</v>
      </c>
      <c r="C464" t="s">
        <v>14</v>
      </c>
      <c r="D464" t="s">
        <v>20</v>
      </c>
      <c r="E464" t="s">
        <v>27</v>
      </c>
      <c r="F464" t="s">
        <v>36</v>
      </c>
      <c r="G464">
        <v>36</v>
      </c>
      <c r="H464">
        <v>6676</v>
      </c>
      <c r="I464">
        <v>0.1</v>
      </c>
      <c r="J464">
        <v>216302.4</v>
      </c>
      <c r="K464">
        <v>51085.56</v>
      </c>
    </row>
    <row r="465" spans="1:11" x14ac:dyDescent="0.2">
      <c r="A465">
        <v>2463</v>
      </c>
      <c r="B465" s="4">
        <v>45390</v>
      </c>
      <c r="C465" t="s">
        <v>17</v>
      </c>
      <c r="D465" t="s">
        <v>20</v>
      </c>
      <c r="E465" t="s">
        <v>24</v>
      </c>
      <c r="F465" t="s">
        <v>36</v>
      </c>
      <c r="G465">
        <v>22</v>
      </c>
      <c r="H465">
        <v>4010</v>
      </c>
      <c r="I465">
        <v>0</v>
      </c>
      <c r="J465">
        <v>88220</v>
      </c>
      <c r="K465">
        <v>17665.07</v>
      </c>
    </row>
    <row r="466" spans="1:11" x14ac:dyDescent="0.2">
      <c r="A466">
        <v>2464</v>
      </c>
      <c r="B466" s="4">
        <v>45391</v>
      </c>
      <c r="C466" t="s">
        <v>13</v>
      </c>
      <c r="D466" t="s">
        <v>20</v>
      </c>
      <c r="E466" t="s">
        <v>24</v>
      </c>
      <c r="F466" t="s">
        <v>36</v>
      </c>
      <c r="G466">
        <v>1</v>
      </c>
      <c r="H466">
        <v>5190</v>
      </c>
      <c r="I466">
        <v>0</v>
      </c>
      <c r="J466">
        <v>5190</v>
      </c>
      <c r="K466">
        <v>934.23</v>
      </c>
    </row>
    <row r="467" spans="1:11" x14ac:dyDescent="0.2">
      <c r="A467">
        <v>2465</v>
      </c>
      <c r="B467" s="4">
        <v>45392</v>
      </c>
      <c r="C467" t="s">
        <v>14</v>
      </c>
      <c r="D467" t="s">
        <v>20</v>
      </c>
      <c r="E467" t="s">
        <v>24</v>
      </c>
      <c r="F467" t="s">
        <v>38</v>
      </c>
      <c r="G467">
        <v>31</v>
      </c>
      <c r="H467">
        <v>7347</v>
      </c>
      <c r="I467">
        <v>0.05</v>
      </c>
      <c r="J467">
        <v>216369.15</v>
      </c>
      <c r="K467">
        <v>45879.21</v>
      </c>
    </row>
    <row r="468" spans="1:11" x14ac:dyDescent="0.2">
      <c r="A468">
        <v>2466</v>
      </c>
      <c r="B468" s="4">
        <v>45393</v>
      </c>
      <c r="C468" t="s">
        <v>13</v>
      </c>
      <c r="D468" t="s">
        <v>19</v>
      </c>
      <c r="E468" t="s">
        <v>28</v>
      </c>
      <c r="F468" t="s">
        <v>37</v>
      </c>
      <c r="G468">
        <v>11</v>
      </c>
      <c r="H468">
        <v>626</v>
      </c>
      <c r="I468">
        <v>0.1</v>
      </c>
      <c r="J468">
        <v>6197.4</v>
      </c>
      <c r="K468">
        <v>743.93</v>
      </c>
    </row>
    <row r="469" spans="1:11" x14ac:dyDescent="0.2">
      <c r="A469">
        <v>2467</v>
      </c>
      <c r="B469" s="4">
        <v>45394</v>
      </c>
      <c r="C469" t="s">
        <v>16</v>
      </c>
      <c r="D469" t="s">
        <v>20</v>
      </c>
      <c r="E469" t="s">
        <v>24</v>
      </c>
      <c r="F469" t="s">
        <v>38</v>
      </c>
      <c r="G469">
        <v>27</v>
      </c>
      <c r="H469">
        <v>7085</v>
      </c>
      <c r="I469">
        <v>0.05</v>
      </c>
      <c r="J469">
        <v>181730.25</v>
      </c>
      <c r="K469">
        <v>35998.480000000003</v>
      </c>
    </row>
    <row r="470" spans="1:11" x14ac:dyDescent="0.2">
      <c r="A470">
        <v>2468</v>
      </c>
      <c r="B470" s="4">
        <v>45395</v>
      </c>
      <c r="C470" t="s">
        <v>17</v>
      </c>
      <c r="D470" t="s">
        <v>20</v>
      </c>
      <c r="E470" t="s">
        <v>27</v>
      </c>
      <c r="F470" t="s">
        <v>36</v>
      </c>
      <c r="G470">
        <v>39</v>
      </c>
      <c r="H470">
        <v>7263</v>
      </c>
      <c r="I470">
        <v>0.05</v>
      </c>
      <c r="J470">
        <v>269094.15000000002</v>
      </c>
      <c r="K470">
        <v>57529.01</v>
      </c>
    </row>
    <row r="471" spans="1:11" x14ac:dyDescent="0.2">
      <c r="A471">
        <v>2469</v>
      </c>
      <c r="B471" s="4">
        <v>45396</v>
      </c>
      <c r="C471" t="s">
        <v>11</v>
      </c>
      <c r="D471" t="s">
        <v>22</v>
      </c>
      <c r="E471" t="s">
        <v>33</v>
      </c>
      <c r="F471" t="s">
        <v>36</v>
      </c>
      <c r="G471">
        <v>31</v>
      </c>
      <c r="H471">
        <v>122716</v>
      </c>
      <c r="I471">
        <v>0</v>
      </c>
      <c r="J471">
        <v>3804196</v>
      </c>
      <c r="K471">
        <v>710185.44</v>
      </c>
    </row>
    <row r="472" spans="1:11" x14ac:dyDescent="0.2">
      <c r="A472">
        <v>2470</v>
      </c>
      <c r="B472" s="4">
        <v>45397</v>
      </c>
      <c r="C472" t="s">
        <v>17</v>
      </c>
      <c r="D472" t="s">
        <v>22</v>
      </c>
      <c r="E472" t="s">
        <v>34</v>
      </c>
      <c r="F472" t="s">
        <v>36</v>
      </c>
      <c r="G472">
        <v>14</v>
      </c>
      <c r="H472">
        <v>99263</v>
      </c>
      <c r="I472">
        <v>0.1</v>
      </c>
      <c r="J472">
        <v>1250713.8</v>
      </c>
      <c r="K472">
        <v>243325.66</v>
      </c>
    </row>
    <row r="473" spans="1:11" x14ac:dyDescent="0.2">
      <c r="A473">
        <v>2471</v>
      </c>
      <c r="B473" s="4">
        <v>45398</v>
      </c>
      <c r="C473" t="s">
        <v>16</v>
      </c>
      <c r="D473" t="s">
        <v>19</v>
      </c>
      <c r="E473" t="s">
        <v>23</v>
      </c>
      <c r="F473" t="s">
        <v>36</v>
      </c>
      <c r="G473">
        <v>7</v>
      </c>
      <c r="H473">
        <v>544</v>
      </c>
      <c r="I473">
        <v>0.05</v>
      </c>
      <c r="J473">
        <v>3617.6</v>
      </c>
      <c r="K473">
        <v>767.02</v>
      </c>
    </row>
    <row r="474" spans="1:11" x14ac:dyDescent="0.2">
      <c r="A474">
        <v>2472</v>
      </c>
      <c r="B474" s="4">
        <v>45399</v>
      </c>
      <c r="C474" t="s">
        <v>17</v>
      </c>
      <c r="D474" t="s">
        <v>21</v>
      </c>
      <c r="E474" t="s">
        <v>29</v>
      </c>
      <c r="F474" t="s">
        <v>38</v>
      </c>
      <c r="G474">
        <v>13</v>
      </c>
      <c r="H474">
        <v>32441</v>
      </c>
      <c r="I474">
        <v>0.1</v>
      </c>
      <c r="J474">
        <v>379559.7</v>
      </c>
      <c r="K474">
        <v>70526.61</v>
      </c>
    </row>
    <row r="475" spans="1:11" x14ac:dyDescent="0.2">
      <c r="A475">
        <v>2473</v>
      </c>
      <c r="B475" s="4">
        <v>45400</v>
      </c>
      <c r="C475" t="s">
        <v>16</v>
      </c>
      <c r="D475" t="s">
        <v>19</v>
      </c>
      <c r="E475" t="s">
        <v>32</v>
      </c>
      <c r="F475" t="s">
        <v>36</v>
      </c>
      <c r="G475">
        <v>16</v>
      </c>
      <c r="H475">
        <v>697</v>
      </c>
      <c r="I475">
        <v>0.1</v>
      </c>
      <c r="J475">
        <v>10036.799999999999</v>
      </c>
      <c r="K475">
        <v>1136</v>
      </c>
    </row>
    <row r="476" spans="1:11" x14ac:dyDescent="0.2">
      <c r="A476">
        <v>2474</v>
      </c>
      <c r="B476" s="4">
        <v>45401</v>
      </c>
      <c r="C476" t="s">
        <v>18</v>
      </c>
      <c r="D476" t="s">
        <v>21</v>
      </c>
      <c r="E476" t="s">
        <v>29</v>
      </c>
      <c r="F476" t="s">
        <v>38</v>
      </c>
      <c r="G476">
        <v>7</v>
      </c>
      <c r="H476">
        <v>84021</v>
      </c>
      <c r="I476">
        <v>0</v>
      </c>
      <c r="J476">
        <v>588147</v>
      </c>
      <c r="K476">
        <v>131164.20000000001</v>
      </c>
    </row>
    <row r="477" spans="1:11" x14ac:dyDescent="0.2">
      <c r="A477">
        <v>2475</v>
      </c>
      <c r="B477" s="4">
        <v>45402</v>
      </c>
      <c r="C477" t="s">
        <v>15</v>
      </c>
      <c r="D477" t="s">
        <v>22</v>
      </c>
      <c r="E477" t="s">
        <v>33</v>
      </c>
      <c r="F477" t="s">
        <v>38</v>
      </c>
      <c r="G477">
        <v>11</v>
      </c>
      <c r="H477">
        <v>133785</v>
      </c>
      <c r="I477">
        <v>0</v>
      </c>
      <c r="J477">
        <v>1471635</v>
      </c>
      <c r="K477">
        <v>121809.12</v>
      </c>
    </row>
    <row r="478" spans="1:11" x14ac:dyDescent="0.2">
      <c r="A478">
        <v>2476</v>
      </c>
      <c r="B478" s="4">
        <v>45403</v>
      </c>
      <c r="C478" t="s">
        <v>18</v>
      </c>
      <c r="D478" t="s">
        <v>19</v>
      </c>
      <c r="E478" t="s">
        <v>35</v>
      </c>
      <c r="F478" t="s">
        <v>36</v>
      </c>
      <c r="G478">
        <v>20</v>
      </c>
      <c r="H478">
        <v>447</v>
      </c>
      <c r="I478">
        <v>0</v>
      </c>
      <c r="J478">
        <v>8940</v>
      </c>
      <c r="K478">
        <v>880.09</v>
      </c>
    </row>
    <row r="479" spans="1:11" x14ac:dyDescent="0.2">
      <c r="A479">
        <v>2477</v>
      </c>
      <c r="B479" s="4">
        <v>45404</v>
      </c>
      <c r="C479" t="s">
        <v>17</v>
      </c>
      <c r="D479" t="s">
        <v>20</v>
      </c>
      <c r="E479" t="s">
        <v>27</v>
      </c>
      <c r="F479" t="s">
        <v>36</v>
      </c>
      <c r="G479">
        <v>9</v>
      </c>
      <c r="H479">
        <v>6049</v>
      </c>
      <c r="I479">
        <v>0.1</v>
      </c>
      <c r="J479">
        <v>48996.9</v>
      </c>
      <c r="K479">
        <v>11412.61</v>
      </c>
    </row>
    <row r="480" spans="1:11" x14ac:dyDescent="0.2">
      <c r="A480">
        <v>2478</v>
      </c>
      <c r="B480" s="4">
        <v>45405</v>
      </c>
      <c r="C480" t="s">
        <v>16</v>
      </c>
      <c r="D480" t="s">
        <v>20</v>
      </c>
      <c r="E480" t="s">
        <v>24</v>
      </c>
      <c r="F480" t="s">
        <v>36</v>
      </c>
      <c r="G480">
        <v>30</v>
      </c>
      <c r="H480">
        <v>7100</v>
      </c>
      <c r="I480">
        <v>0.05</v>
      </c>
      <c r="J480">
        <v>202350</v>
      </c>
      <c r="K480">
        <v>46171.040000000001</v>
      </c>
    </row>
    <row r="481" spans="1:11" x14ac:dyDescent="0.2">
      <c r="A481">
        <v>2479</v>
      </c>
      <c r="B481" s="4">
        <v>45406</v>
      </c>
      <c r="C481" t="s">
        <v>14</v>
      </c>
      <c r="D481" t="s">
        <v>21</v>
      </c>
      <c r="E481" t="s">
        <v>29</v>
      </c>
      <c r="F481" t="s">
        <v>37</v>
      </c>
      <c r="G481">
        <v>39</v>
      </c>
      <c r="H481">
        <v>80687</v>
      </c>
      <c r="I481">
        <v>0.05</v>
      </c>
      <c r="J481">
        <v>2989453.35</v>
      </c>
      <c r="K481">
        <v>462489.08</v>
      </c>
    </row>
    <row r="482" spans="1:11" x14ac:dyDescent="0.2">
      <c r="A482">
        <v>2480</v>
      </c>
      <c r="B482" s="4">
        <v>45407</v>
      </c>
      <c r="C482" t="s">
        <v>13</v>
      </c>
      <c r="D482" t="s">
        <v>22</v>
      </c>
      <c r="E482" t="s">
        <v>34</v>
      </c>
      <c r="F482" t="s">
        <v>38</v>
      </c>
      <c r="G482">
        <v>6</v>
      </c>
      <c r="H482">
        <v>127526</v>
      </c>
      <c r="I482">
        <v>0.05</v>
      </c>
      <c r="J482">
        <v>726898.2</v>
      </c>
      <c r="K482">
        <v>81554.59</v>
      </c>
    </row>
    <row r="483" spans="1:11" x14ac:dyDescent="0.2">
      <c r="A483">
        <v>2481</v>
      </c>
      <c r="B483" s="4">
        <v>45408</v>
      </c>
      <c r="C483" t="s">
        <v>17</v>
      </c>
      <c r="D483" t="s">
        <v>21</v>
      </c>
      <c r="E483" t="s">
        <v>26</v>
      </c>
      <c r="F483" t="s">
        <v>38</v>
      </c>
      <c r="G483">
        <v>26</v>
      </c>
      <c r="H483">
        <v>79300</v>
      </c>
      <c r="I483">
        <v>0.05</v>
      </c>
      <c r="J483">
        <v>1958710</v>
      </c>
      <c r="K483">
        <v>318503.01</v>
      </c>
    </row>
    <row r="484" spans="1:11" x14ac:dyDescent="0.2">
      <c r="A484">
        <v>2482</v>
      </c>
      <c r="B484" s="4">
        <v>45409</v>
      </c>
      <c r="C484" t="s">
        <v>17</v>
      </c>
      <c r="D484" t="s">
        <v>22</v>
      </c>
      <c r="E484" t="s">
        <v>33</v>
      </c>
      <c r="F484" t="s">
        <v>38</v>
      </c>
      <c r="G484">
        <v>10</v>
      </c>
      <c r="H484">
        <v>106372</v>
      </c>
      <c r="I484">
        <v>0</v>
      </c>
      <c r="J484">
        <v>1063720</v>
      </c>
      <c r="K484">
        <v>244354.23</v>
      </c>
    </row>
    <row r="485" spans="1:11" x14ac:dyDescent="0.2">
      <c r="A485">
        <v>2483</v>
      </c>
      <c r="B485" s="4">
        <v>45410</v>
      </c>
      <c r="C485" t="s">
        <v>11</v>
      </c>
      <c r="D485" t="s">
        <v>20</v>
      </c>
      <c r="E485" t="s">
        <v>24</v>
      </c>
      <c r="F485" t="s">
        <v>37</v>
      </c>
      <c r="G485">
        <v>22</v>
      </c>
      <c r="H485">
        <v>7356</v>
      </c>
      <c r="I485">
        <v>0.1</v>
      </c>
      <c r="J485">
        <v>145648.79999999999</v>
      </c>
      <c r="K485">
        <v>22340.9</v>
      </c>
    </row>
    <row r="486" spans="1:11" x14ac:dyDescent="0.2">
      <c r="A486">
        <v>2484</v>
      </c>
      <c r="B486" s="4">
        <v>45411</v>
      </c>
      <c r="C486" t="s">
        <v>11</v>
      </c>
      <c r="D486" t="s">
        <v>21</v>
      </c>
      <c r="E486" t="s">
        <v>31</v>
      </c>
      <c r="F486" t="s">
        <v>36</v>
      </c>
      <c r="G486">
        <v>1</v>
      </c>
      <c r="H486">
        <v>53147</v>
      </c>
      <c r="I486">
        <v>0.05</v>
      </c>
      <c r="J486">
        <v>50489.65</v>
      </c>
      <c r="K486">
        <v>6108.69</v>
      </c>
    </row>
    <row r="487" spans="1:11" x14ac:dyDescent="0.2">
      <c r="A487">
        <v>2485</v>
      </c>
      <c r="B487" s="4">
        <v>45412</v>
      </c>
      <c r="C487" t="s">
        <v>16</v>
      </c>
      <c r="D487" t="s">
        <v>19</v>
      </c>
      <c r="E487" t="s">
        <v>25</v>
      </c>
      <c r="F487" t="s">
        <v>37</v>
      </c>
      <c r="G487">
        <v>17</v>
      </c>
      <c r="H487">
        <v>533</v>
      </c>
      <c r="I487">
        <v>0.1</v>
      </c>
      <c r="J487">
        <v>8154.9</v>
      </c>
      <c r="K487">
        <v>1118.6400000000001</v>
      </c>
    </row>
    <row r="488" spans="1:11" x14ac:dyDescent="0.2">
      <c r="A488">
        <v>2486</v>
      </c>
      <c r="B488" s="4">
        <v>45413</v>
      </c>
      <c r="C488" t="s">
        <v>15</v>
      </c>
      <c r="D488" t="s">
        <v>22</v>
      </c>
      <c r="E488" t="s">
        <v>34</v>
      </c>
      <c r="F488" t="s">
        <v>36</v>
      </c>
      <c r="G488">
        <v>18</v>
      </c>
      <c r="H488">
        <v>184806</v>
      </c>
      <c r="I488">
        <v>0</v>
      </c>
      <c r="J488">
        <v>3326508</v>
      </c>
      <c r="K488">
        <v>658737.74</v>
      </c>
    </row>
    <row r="489" spans="1:11" x14ac:dyDescent="0.2">
      <c r="A489">
        <v>2487</v>
      </c>
      <c r="B489" s="4">
        <v>45414</v>
      </c>
      <c r="C489" t="s">
        <v>17</v>
      </c>
      <c r="D489" t="s">
        <v>21</v>
      </c>
      <c r="E489" t="s">
        <v>31</v>
      </c>
      <c r="F489" t="s">
        <v>36</v>
      </c>
      <c r="G489">
        <v>31</v>
      </c>
      <c r="H489">
        <v>56730</v>
      </c>
      <c r="I489">
        <v>0.05</v>
      </c>
      <c r="J489">
        <v>1670698.5</v>
      </c>
      <c r="K489">
        <v>398482.74</v>
      </c>
    </row>
    <row r="490" spans="1:11" x14ac:dyDescent="0.2">
      <c r="A490">
        <v>2488</v>
      </c>
      <c r="B490" s="4">
        <v>45415</v>
      </c>
      <c r="C490" t="s">
        <v>18</v>
      </c>
      <c r="D490" t="s">
        <v>21</v>
      </c>
      <c r="E490" t="s">
        <v>26</v>
      </c>
      <c r="F490" t="s">
        <v>36</v>
      </c>
      <c r="G490">
        <v>22</v>
      </c>
      <c r="H490">
        <v>48982</v>
      </c>
      <c r="I490">
        <v>0.1</v>
      </c>
      <c r="J490">
        <v>969843.6</v>
      </c>
      <c r="K490">
        <v>162787.49</v>
      </c>
    </row>
    <row r="491" spans="1:11" x14ac:dyDescent="0.2">
      <c r="A491">
        <v>2489</v>
      </c>
      <c r="B491" s="4">
        <v>45416</v>
      </c>
      <c r="C491" t="s">
        <v>13</v>
      </c>
      <c r="D491" t="s">
        <v>20</v>
      </c>
      <c r="E491" t="s">
        <v>24</v>
      </c>
      <c r="F491" t="s">
        <v>37</v>
      </c>
      <c r="G491">
        <v>2</v>
      </c>
      <c r="H491">
        <v>4162</v>
      </c>
      <c r="I491">
        <v>0</v>
      </c>
      <c r="J491">
        <v>8324</v>
      </c>
      <c r="K491">
        <v>1121.44</v>
      </c>
    </row>
    <row r="492" spans="1:11" x14ac:dyDescent="0.2">
      <c r="A492">
        <v>2490</v>
      </c>
      <c r="B492" s="4">
        <v>45417</v>
      </c>
      <c r="C492" t="s">
        <v>18</v>
      </c>
      <c r="D492" t="s">
        <v>21</v>
      </c>
      <c r="E492" t="s">
        <v>31</v>
      </c>
      <c r="F492" t="s">
        <v>38</v>
      </c>
      <c r="G492">
        <v>39</v>
      </c>
      <c r="H492">
        <v>87919</v>
      </c>
      <c r="I492">
        <v>0.05</v>
      </c>
      <c r="J492">
        <v>3257398.95</v>
      </c>
      <c r="K492">
        <v>608978.80000000005</v>
      </c>
    </row>
    <row r="493" spans="1:11" x14ac:dyDescent="0.2">
      <c r="A493">
        <v>2491</v>
      </c>
      <c r="B493" s="4">
        <v>45418</v>
      </c>
      <c r="C493" t="s">
        <v>12</v>
      </c>
      <c r="D493" t="s">
        <v>21</v>
      </c>
      <c r="E493" t="s">
        <v>29</v>
      </c>
      <c r="F493" t="s">
        <v>36</v>
      </c>
      <c r="G493">
        <v>9</v>
      </c>
      <c r="H493">
        <v>17965</v>
      </c>
      <c r="I493">
        <v>0.05</v>
      </c>
      <c r="J493">
        <v>153600.75</v>
      </c>
      <c r="K493">
        <v>27628.11</v>
      </c>
    </row>
    <row r="494" spans="1:11" x14ac:dyDescent="0.2">
      <c r="A494">
        <v>2492</v>
      </c>
      <c r="B494" s="4">
        <v>45419</v>
      </c>
      <c r="C494" t="s">
        <v>15</v>
      </c>
      <c r="D494" t="s">
        <v>21</v>
      </c>
      <c r="E494" t="s">
        <v>26</v>
      </c>
      <c r="F494" t="s">
        <v>38</v>
      </c>
      <c r="G494">
        <v>28</v>
      </c>
      <c r="H494">
        <v>49306</v>
      </c>
      <c r="I494">
        <v>0.1</v>
      </c>
      <c r="J494">
        <v>1242511.2</v>
      </c>
      <c r="K494">
        <v>254507.06</v>
      </c>
    </row>
    <row r="495" spans="1:11" x14ac:dyDescent="0.2">
      <c r="A495">
        <v>2493</v>
      </c>
      <c r="B495" s="4">
        <v>45420</v>
      </c>
      <c r="C495" t="s">
        <v>14</v>
      </c>
      <c r="D495" t="s">
        <v>19</v>
      </c>
      <c r="E495" t="s">
        <v>25</v>
      </c>
      <c r="F495" t="s">
        <v>37</v>
      </c>
      <c r="G495">
        <v>2</v>
      </c>
      <c r="H495">
        <v>503</v>
      </c>
      <c r="I495">
        <v>0.1</v>
      </c>
      <c r="J495">
        <v>905.4</v>
      </c>
      <c r="K495">
        <v>210.98</v>
      </c>
    </row>
    <row r="496" spans="1:11" x14ac:dyDescent="0.2">
      <c r="A496">
        <v>2494</v>
      </c>
      <c r="B496" s="4">
        <v>45421</v>
      </c>
      <c r="C496" t="s">
        <v>18</v>
      </c>
      <c r="D496" t="s">
        <v>19</v>
      </c>
      <c r="E496" t="s">
        <v>35</v>
      </c>
      <c r="F496" t="s">
        <v>38</v>
      </c>
      <c r="G496">
        <v>7</v>
      </c>
      <c r="H496">
        <v>728</v>
      </c>
      <c r="I496">
        <v>0</v>
      </c>
      <c r="J496">
        <v>5096</v>
      </c>
      <c r="K496">
        <v>941.35</v>
      </c>
    </row>
    <row r="497" spans="1:11" x14ac:dyDescent="0.2">
      <c r="A497">
        <v>2495</v>
      </c>
      <c r="B497" s="4">
        <v>45422</v>
      </c>
      <c r="C497" t="s">
        <v>18</v>
      </c>
      <c r="D497" t="s">
        <v>21</v>
      </c>
      <c r="E497" t="s">
        <v>29</v>
      </c>
      <c r="F497" t="s">
        <v>36</v>
      </c>
      <c r="G497">
        <v>27</v>
      </c>
      <c r="H497">
        <v>135058</v>
      </c>
      <c r="I497">
        <v>0</v>
      </c>
      <c r="J497">
        <v>3646566</v>
      </c>
      <c r="K497">
        <v>574021.80000000005</v>
      </c>
    </row>
    <row r="498" spans="1:11" x14ac:dyDescent="0.2">
      <c r="A498">
        <v>2496</v>
      </c>
      <c r="B498" s="4">
        <v>45423</v>
      </c>
      <c r="C498" t="s">
        <v>16</v>
      </c>
      <c r="D498" t="s">
        <v>19</v>
      </c>
      <c r="E498" t="s">
        <v>28</v>
      </c>
      <c r="F498" t="s">
        <v>37</v>
      </c>
      <c r="G498">
        <v>19</v>
      </c>
      <c r="H498">
        <v>487</v>
      </c>
      <c r="I498">
        <v>0.05</v>
      </c>
      <c r="J498">
        <v>8790.35</v>
      </c>
      <c r="K498">
        <v>1793.05</v>
      </c>
    </row>
    <row r="499" spans="1:11" x14ac:dyDescent="0.2">
      <c r="A499">
        <v>2497</v>
      </c>
      <c r="B499" s="4">
        <v>45424</v>
      </c>
      <c r="C499" t="s">
        <v>12</v>
      </c>
      <c r="D499" t="s">
        <v>20</v>
      </c>
      <c r="E499" t="s">
        <v>27</v>
      </c>
      <c r="F499" t="s">
        <v>38</v>
      </c>
      <c r="G499">
        <v>7</v>
      </c>
      <c r="H499">
        <v>3623</v>
      </c>
      <c r="I499">
        <v>0.05</v>
      </c>
      <c r="J499">
        <v>24092.95</v>
      </c>
      <c r="K499">
        <v>5423.54</v>
      </c>
    </row>
    <row r="500" spans="1:11" x14ac:dyDescent="0.2">
      <c r="A500">
        <v>2498</v>
      </c>
      <c r="B500" s="4">
        <v>45425</v>
      </c>
      <c r="C500" t="s">
        <v>14</v>
      </c>
      <c r="D500" t="s">
        <v>20</v>
      </c>
      <c r="E500" t="s">
        <v>24</v>
      </c>
      <c r="F500" t="s">
        <v>38</v>
      </c>
      <c r="G500">
        <v>36</v>
      </c>
      <c r="H500">
        <v>4228</v>
      </c>
      <c r="I500">
        <v>0.05</v>
      </c>
      <c r="J500">
        <v>144597.6</v>
      </c>
      <c r="K500">
        <v>27259.11</v>
      </c>
    </row>
    <row r="501" spans="1:11" x14ac:dyDescent="0.2">
      <c r="A501">
        <v>2499</v>
      </c>
      <c r="B501" s="4">
        <v>45426</v>
      </c>
      <c r="C501" t="s">
        <v>18</v>
      </c>
      <c r="D501" t="s">
        <v>20</v>
      </c>
      <c r="E501" t="s">
        <v>24</v>
      </c>
      <c r="F501" t="s">
        <v>36</v>
      </c>
      <c r="G501">
        <v>23</v>
      </c>
      <c r="H501">
        <v>6877</v>
      </c>
      <c r="I501">
        <v>0.05</v>
      </c>
      <c r="J501">
        <v>150262.45000000001</v>
      </c>
      <c r="K501">
        <v>19783.060000000001</v>
      </c>
    </row>
  </sheetData>
  <pageMargins left="0.7" right="0.7" top="0.75" bottom="0.75" header="0.3" footer="0.3"/>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Sheet4</vt:lpstr>
      <vt:lpstr>Sheet5</vt:lpstr>
      <vt:lpstr>Sheet6</vt:lpstr>
      <vt:lpstr>Sheet7</vt:lpstr>
      <vt:lpstr>Dashboard</vt:lpstr>
      <vt:lpstr>Sheet8</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Abhinaya. K IT24103851</cp:lastModifiedBy>
  <cp:lastPrinted>2025-11-20T18:53:43Z</cp:lastPrinted>
  <dcterms:created xsi:type="dcterms:W3CDTF">2025-11-20T07:45:21Z</dcterms:created>
  <dcterms:modified xsi:type="dcterms:W3CDTF">2026-07-04T18:43:55Z</dcterms:modified>
</cp:coreProperties>
</file>